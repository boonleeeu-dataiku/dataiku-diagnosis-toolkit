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rchitecture, Compute &amp; Infrast" sheetId="2" state="visible" r:id="rId4"/>
    <sheet name="Enterprise-grade Security, Perm" sheetId="3" state="visible" r:id="rId5"/>
    <sheet name="Generative AI Acceleration &amp; In" sheetId="4" state="visible" r:id="rId6"/>
    <sheet name="Scalable Performance, Stability" sheetId="5" state="visible" r:id="rId7"/>
    <sheet name="Advanced Security Options (DSS "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<sst xmlns="http://schemas.openxmlformats.org/spreadsheetml/2006/main" count="1869" uniqueCount="1066">
  <si>
    <t xml:space="preserve">Dataiku DSS Diagnosis - Checklist Review Summary</t>
  </si>
  <si>
    <t xml:space="preserve">Bundle</t>
  </si>
  <si>
    <t xml:space="preserve">dku_diagnosis_2026-07-22-08-21-05 (Users/boonleeeu/.../Configs/)</t>
  </si>
  <si>
    <t xml:space="preserve">Diagnosis taken</t>
  </si>
  <si>
    <t xml:space="preserve">2026-07-22 08:21 UTC</t>
  </si>
  <si>
    <t xml:space="preserve">Node</t>
  </si>
  <si>
    <t xml:space="preserve">Design node p4d, installid GbpIpatzv3MFrFfE6MwSlXCg, host gcp9234prdapp04 (GCP VM)</t>
  </si>
  <si>
    <t xml:space="preserve">DSS version</t>
  </si>
  <si>
    <t xml:space="preserve">14.4.3 (latest GA: 15.0.2, 24 Sep 2026)</t>
  </si>
  <si>
    <t xml:space="preserve">Host</t>
  </si>
  <si>
    <t xml:space="preserve">RHEL 8.10, 8 vCPU (AMD EPYC 7B13), ~62GB RAM, no swap; DATA_DIR on 800GB LVM (74% used)</t>
  </si>
  <si>
    <t xml:space="preserve">Compute</t>
  </si>
  <si>
    <t xml:space="preserve">Spark + containerized execution on manual K8s cluster "P4D" (GKE); 25 users; SSO via Azure AD OIDC</t>
  </si>
  <si>
    <t xml:space="preserve">Generated</t>
  </si>
  <si>
    <t xml:space="preserve">2026-09-25</t>
  </si>
  <si>
    <t xml:space="preserve">Reviewer</t>
  </si>
  <si>
    <t xml:space="preserve">Claude (AI-assisted review) - bundle dku_diagnosis_2026-07-22-08-21-05 (node p4d, DSS 14.4.3)</t>
  </si>
  <si>
    <t xml:space="preserve">Overall status counts</t>
  </si>
  <si>
    <t xml:space="preserve">Status</t>
  </si>
  <si>
    <t xml:space="preserve">All items</t>
  </si>
  <si>
    <t xml:space="preserve">Must-have</t>
  </si>
  <si>
    <t xml:space="preserve">Nice-to-have</t>
  </si>
  <si>
    <t xml:space="preserve">Pass</t>
  </si>
  <si>
    <t xml:space="preserve">Fail</t>
  </si>
  <si>
    <t xml:space="preserve">Partial</t>
  </si>
  <si>
    <t xml:space="preserve">Needs Review</t>
  </si>
  <si>
    <t xml:space="preserve">Not Applicable</t>
  </si>
  <si>
    <t xml:space="preserve">Total</t>
  </si>
  <si>
    <t xml:space="preserve">Per-section breakdown</t>
  </si>
  <si>
    <t xml:space="preserve">Section</t>
  </si>
  <si>
    <t xml:space="preserve">Architecture, Compute &amp; Infrast</t>
  </si>
  <si>
    <t xml:space="preserve">Enterprise-grade Security, Perm</t>
  </si>
  <si>
    <t xml:space="preserve">Generative AI Acceleration &amp; In</t>
  </si>
  <si>
    <t xml:space="preserve">Scalable Performance, Stability</t>
  </si>
  <si>
    <t xml:space="preserve">Advanced Security Options (DSS </t>
  </si>
  <si>
    <t xml:space="preserve">Critical findings - must-have items that Fail (root cause first)</t>
  </si>
  <si>
    <t xml:space="preserve">ID</t>
  </si>
  <si>
    <t xml:space="preserve">Title</t>
  </si>
  <si>
    <t xml:space="preserve">Key point</t>
  </si>
  <si>
    <t xml:space="preserve">SCALE-009</t>
  </si>
  <si>
    <t xml:space="preserve">Flow Limits Sizing (Max Jobs, Max Activities)</t>
  </si>
  <si>
    <t xml:space="preserve">CRITICAL, and the likely root cause of the instability. Max running jobs = 0 means no limit. Each job spawns a 2GB-heap JEK that is not in any cgroup, so concurrent jobs can push the 62GB, no-swap host past physical RAM, on top of the 40G cgroup budget and the 8g backend. That matches the native-memory crash dumps (Mar and Jul 2026). Fix: set maxRunningJobs using the 5-step framework, e.g. 62GB - OS ~4GB - backend 8g ~ 50GB; about 70% to cgroups (~35-40G) leaves ~10-12GB for JEKs, so about 5 concurrent jobs at 2g. Raise maxRunningActivities to 30-50 only as a backstop above Max Jobs; the current value of 5 is well below the recommended band. Also offload recipes to K8s (ARCH-016) to cut host memory pressure. Linked: SEC-004, SCALE-008.</t>
  </si>
  <si>
    <t xml:space="preserve">SCALE-001</t>
  </si>
  <si>
    <t xml:space="preserve">External PostgreSQL Runtime Database</t>
  </si>
  <si>
    <t xml:space="preserve">The runtime DB is still the embedded H2, which is not production-grade for a 25-user instance. Migrate to an external PostgreSQL. Set maxPooledExternalConnections to at least 2x Postgres max_connections, and align DB backups with DSS backups (SCALE-005).</t>
  </si>
  <si>
    <t xml:space="preserve">ARCH-004</t>
  </si>
  <si>
    <t xml:space="preserve">SSD Storage for DSS</t>
  </si>
  <si>
    <t xml:space="preserve">DSS's own sanity check flags rotational storage for DATA_DIR. Caveat: this is a GCP VM (hostname gcp9234prdapp04, metadata.google.internal), and GCP persistent disks always report ROTA=1. Confirm the actual PD type (pd-standard is HDD; pd-balanced/pd-ssd are SSD). If it is pd-standard, migrate /apps to pd-balanced or pd-ssd. With 25 users and heavy logs, disk I/O matters.</t>
  </si>
  <si>
    <t xml:space="preserve">SCALE-007</t>
  </si>
  <si>
    <t xml:space="preserve">Backend.log Error Review</t>
  </si>
  <si>
    <t xml:space="preserve">Several systemic, recurring errors: (1) unified-monitoring graphite parsing and RRD writes for API deployments on an old 'PND_Local' infra (stale deployments or monitoring entries; clean up or fix); (2) scenarios whose run-as users (ds10, vgupta11) no longer exist (reassign or disable; see SCALE-004); (3) orphaned code-studio webapp executions calling back (clean up stale K8s code-studio deployments; see ARCH-012). None crashes DSS on its own, but together they flood the logs and hide real problems.</t>
  </si>
  <si>
    <t xml:space="preserve">SCALE-004</t>
  </si>
  <si>
    <t xml:space="preserve">Admin Project for Garbage Collection</t>
  </si>
  <si>
    <t xml:space="preserve">An admin project exists but has no garbage-collection scenarios, and its one scheduled scenario is broken (its run-as user was deleted). Add scheduled macros for old job logs/scenario runs, idle Jupyter kernels and temp files per the Setup Maintenance Jobs wiki, and fix the run-as user. Log volume is high: backend/nginx/ipython logs rotate at 100MB.</t>
  </si>
  <si>
    <t xml:space="preserve">SCALE-012</t>
  </si>
  <si>
    <t xml:space="preserve">Cloud Object Storage Configuration (Details Readable By, HDFS Interface)</t>
  </si>
  <si>
    <t xml:space="preserve">Spark is enabled and used, but one Azure connection has no details-readable groups (DSS itself warns), and none of the three cloud storage connections has an HDFS interface. Set GS for GCS, and ABFS (if hierarchical namespace is enabled) or WASB for Azure. Grant details-read to the groups that run Spark on these connections.</t>
  </si>
  <si>
    <t xml:space="preserve">SCALE-015</t>
  </si>
  <si>
    <t xml:space="preserve">Amazon Redshift, Google BigQuery, Azure Synapse Connection Configuration</t>
  </si>
  <si>
    <t xml:space="preserve">Automatic fast-write is off on both BigQuery connections, so writes go row-by-row through DSS. Enable it, pointing to a GCS connection with compatible auth (the ear21183 GCS connection is a natural pairing for ear21183 BigQuery). No Redshift or Synapse connections exist.</t>
  </si>
  <si>
    <t xml:space="preserve">SCALE-011</t>
  </si>
  <si>
    <t xml:space="preserve">Remove filesystem_root Connection</t>
  </si>
  <si>
    <t xml:space="preserve">filesystem_root still exists. Access is limited to admin and data-scientist groups, which reduces the risk but still exposes the whole server filesystem. Check usage in Admin &gt; Monitoring. If used, create a scoped connection to the specific path, migrate, then delete filesystem_root.</t>
  </si>
  <si>
    <t xml:space="preserve">ADVSEC-001</t>
  </si>
  <si>
    <t xml:space="preserve">Hiding error stacks</t>
  </si>
  <si>
    <t xml:space="preserve">Stack traces are shown to logged-in users. Set security.hideErrorStacks=true.</t>
  </si>
  <si>
    <t xml:space="preserve">ADVSEC-004</t>
  </si>
  <si>
    <t xml:space="preserve">Expiring sessions</t>
  </si>
  <si>
    <t xml:space="preserve">Sessions never expire. Set a finite idle timeout and/or maximum duration (e.g. 8-12h max, 60-120 min idle), and warn users about possible loss of unsaved work in Jupyter.</t>
  </si>
  <si>
    <t xml:space="preserve">ADVSEC-005</t>
  </si>
  <si>
    <t xml:space="preserve">Forcing a single session per user</t>
  </si>
  <si>
    <t xml:space="preserve">Multiple concurrent sessions per user are allowed (the default). Enable 'Force single session per user' if it fits how users work.</t>
  </si>
  <si>
    <t xml:space="preserve">ADVSEC-008</t>
  </si>
  <si>
    <t xml:space="preserve">Restricting types of files that can be uploaded in wikis</t>
  </si>
  <si>
    <t xml:space="preserve">Any file type can be uploaded to wikis. Add dku.wikis.authorizedUploadExtensions=png,jpg,jpeg,gif,txt,csv (adjust as needed) and restart.</t>
  </si>
  <si>
    <t xml:space="preserve">ADVSEC-009</t>
  </si>
  <si>
    <t xml:space="preserve">Restricting exports</t>
  </si>
  <si>
    <t xml:space="preserve">All export and clipboard features are available. Decide the scope with the data owners (e.g. dku.exports.disableAllDatasetExports=true instance-wide if data sensitivity warrants it). This is a best-effort control only.</t>
  </si>
  <si>
    <t xml:space="preserve">GENAI-003</t>
  </si>
  <si>
    <t xml:space="preserve">Trace Explorer Default Configuration</t>
  </si>
  <si>
    <t xml:space="preserve">The Trace Explorer plugin is installed and LLM Mesh is in heavy use (9 AzureOpenAI connections, cost quotas), but no default project/webapp is set, so 'View traces' shortcuts will not work. Create a Trace Explorer webapp and set it in Admin &gt; Settings &gt; LLM Mesh &gt; Trace.</t>
  </si>
  <si>
    <t xml:space="preserve">Other must-have items - Partial or Needs Review</t>
  </si>
  <si>
    <t xml:space="preserve">ARCH-001</t>
  </si>
  <si>
    <t xml:space="preserve">Separation of Design and Automation Nodes</t>
  </si>
  <si>
    <t xml:space="preserve">The bundle is from a single design node. The URLs suggest the organisation runs a separate deploy/automation estate, but this node uses its own local deployer and has no project-deployer infrastructure attached to push bundles to an automation node. API services (CPS_2, SFP, iSeeds3) are served from this design node's local STATIC infra. Confirm with the customer where production workloads run, and whether the Design -&gt; Deployer -&gt; Automation path is used.</t>
  </si>
  <si>
    <t xml:space="preserve">ARCH-008</t>
  </si>
  <si>
    <t xml:space="preserve">Functional Validation of Spark Execution (Recipe &amp; Notebook)</t>
  </si>
  <si>
    <t xml:space="preserve">Spark-on-K8s recipes are clearly being submitted, but a static bundle cannot confirm end-to-end success or executor-pod visibility for notebooks. Run the documented test recipe and the Spark notebook test.</t>
  </si>
  <si>
    <t xml:space="preserve">ARCH-009</t>
  </si>
  <si>
    <t xml:space="preserve">Bidirectional Network Connectivity Between DSS and Elastic AI Cluster</t>
  </si>
  <si>
    <t xml:space="preserve">Worker-to-DSS connectivity works at least for job start (pods are created). The port-forward and read-timeout errors on K8s webapps suggest intermittent DSS &lt;-&gt; cluster connectivity issues. Validate both directions with a pySpark recipe using toPandas()/collect(), and check for a HEAD operation in the Main Activity Log.</t>
  </si>
  <si>
    <t xml:space="preserve">ARCH-012</t>
  </si>
  <si>
    <t xml:space="preserve">Functional Validation of Containerized Execution Across Recipe, Notebook, Webapp, and API</t>
  </si>
  <si>
    <t xml:space="preserve">Webapps and code studios run on K8s, but the recurring intercom 'Unknown execution context' errors point to orphaned or stale container executions calling back. API services are deployed to a STATIC infra, not K8s, so the API-on-K8s test has no evidence. Run the four functional tests (recipe, notebook, webapp, API).</t>
  </si>
  <si>
    <t xml:space="preserve">ARCH-015</t>
  </si>
  <si>
    <t xml:space="preserve">Appropriate Cluster Sizing</t>
  </si>
  <si>
    <t xml:space="preserve">Illustrative estimate from Dataiku's formula: Spark recipes about 5 x 2 x 4g x 1.2 = 48GB; Spark notebooks about 8 (30% of 25 users) x 2 x 4g x 1.2 = 77GB; Jupyter about 8 x 4GB (py_small limit) = 32GB. Total about 157GB of cluster memory, plus disk about 25GB x executor instances. Get the GKE node-pool size and utilisation, and any pending-pod or OOMKilled history, before judging sizing.</t>
  </si>
  <si>
    <t xml:space="preserve">ARCH-016</t>
  </si>
  <si>
    <t xml:space="preserve">Global Default Cluster and Default Execution Config Set (if Elastic AI used)</t>
  </si>
  <si>
    <t xml:space="preserve">The default cluster is set, but no global default container config is set, so recipes and notebooks run locally unless each one is configured. If most workloads are meant to be offloaded (which the heavy K8s webapp/Spark use suggests), set defaultExecutionConfig to a bounded config such as py_small_config or py_medium_config. This also relieves memory pressure on the 62GB host (see SCALE-009).</t>
  </si>
  <si>
    <t xml:space="preserve">SEC-003</t>
  </si>
  <si>
    <t xml:space="preserve">UIF-Managed CGroup Hierarchies Allowed Directories</t>
  </si>
  <si>
    <t xml:space="preserve">cgroups are active under UIF, so this check applies. Ask the admin for security-config.ini and confirm [dirs] additional_allowed_file_dirs includes /sys/fs/cgroup/memory/DSS.</t>
  </si>
  <si>
    <t xml:space="preserve">SEC-004</t>
  </si>
  <si>
    <t xml:space="preserve">CGroups Enabled with Memory Limit per Sizing Heuristic</t>
  </si>
  <si>
    <t xml:space="preserve">The overall limit of 40G is in line with the heuristic (64GB host -&gt; 38g, about 66%). But several process categories have no cgroup placement, which DSS itself warns about. These new categories are often missed after upgrades; add memory/DSS/${user}/... targets for each. Related: SCALE-009, where JEKs are unbounded in number and outside cgroups.</t>
  </si>
  <si>
    <t xml:space="preserve">SCALE-005</t>
  </si>
  <si>
    <t xml:space="preserve">Environment Backup Policy</t>
  </si>
  <si>
    <t xml:space="preserve">Ask the customer for the backup policy (GCP PD snapshots or file-level backup of DATA_DIR, including the H2 databases until the Postgres migration). Confirm frequency, retention and a tested restore.</t>
  </si>
  <si>
    <t xml:space="preserve">Recommendations (priority order; linked issues grouped)</t>
  </si>
  <si>
    <t xml:space="preserve">#</t>
  </si>
  <si>
    <t xml:space="preserve">Action</t>
  </si>
  <si>
    <t xml:space="preserve">Related IDs</t>
  </si>
  <si>
    <t xml:space="preserve">Detail</t>
  </si>
  <si>
    <t xml:space="preserve">1</t>
  </si>
  <si>
    <t xml:space="preserve">Stop host memory exhaustion (root cause of recent crashes)</t>
  </si>
  <si>
    <t xml:space="preserve">SCALE-009, SEC-004, SEC-005, SCALE-008</t>
  </si>
  <si>
    <t xml:space="preserve">Set Max running jobs (jekSettings.maxRunningJobs) from 0 to a sized value (~5 at 2g JEK on this 62GB, no-swap host). Add cgroup targets for the 6 process types DSS flags. Consider adding swap or more RAM. The Mar-2026 and Jul-2026 native-memory JVM crashes are consistent with unbounded JEKs outside cgroups.</t>
  </si>
  <si>
    <t xml:space="preserve">2</t>
  </si>
  <si>
    <t xml:space="preserve">Offload compute to Kubernetes by default</t>
  </si>
  <si>
    <t xml:space="preserve">ARCH-016, ARCH-017, ARCH-006, ARCH-010</t>
  </si>
  <si>
    <t xml:space="preserve">Set a default container exec config and the CDE visual-recipe default, and build the CDE image. Differentiate the 3 identical Spark configs. Rebuild or replace the missing dataiku-exec-gpu:13.4.2 image. This moves load off the DSS host (reinforces #1).</t>
  </si>
  <si>
    <t xml:space="preserve">3</t>
  </si>
  <si>
    <t xml:space="preserve">Migrate runtime DB from H2 to PostgreSQL, and put backups in place</t>
  </si>
  <si>
    <t xml:space="preserve">SCALE-001, SCALE-005, SCALE-016</t>
  </si>
  <si>
    <t xml:space="preserve">H2 databases (jobs.mv.db ~107MB) are active. Move them to external Postgres, size the connection pool, and document a backup/restore policy covering DATA_DIR and the DB.</t>
  </si>
  <si>
    <t xml:space="preserve">4</t>
  </si>
  <si>
    <t xml:space="preserve">Clean up systemic log errors and maintenance</t>
  </si>
  <si>
    <t xml:space="preserve">SCALE-007, SCALE-004, SCALE-006, ARCH-012</t>
  </si>
  <si>
    <t xml:space="preserve">Reassign or disable scenarios run as deleted users (ds10, vgupta11); remove stale PND_Local API deployment monitoring entries; clean orphaned code-studio webapp executions; add log and idle-kernel GC scenarios to ADMINISTRATIONPROJECT; clear the open sanity-check warnings.</t>
  </si>
  <si>
    <t xml:space="preserve">5</t>
  </si>
  <si>
    <t xml:space="preserve">Storage and data-path performance</t>
  </si>
  <si>
    <t xml:space="preserve">ARCH-004, SCALE-012, SCALE-015, SCALE-002</t>
  </si>
  <si>
    <t xml:space="preserve">Confirm the GCP PD type backing /apps (move to pd-balanced/pd-ssd if pd-standard). Set HDFS interfaces (GS/ABFS) and details-readable groups on cloud storage. Enable BigQuery automatic fast-write via GCS. Switch the metastore from HiveServer2 to DSS internal.</t>
  </si>
  <si>
    <t xml:space="preserve">6</t>
  </si>
  <si>
    <t xml:space="preserve">Security hardening quick wins</t>
  </si>
  <si>
    <t xml:space="preserve">ADVSEC-001/002/003/004/005/008/009/012, SCALE-011</t>
  </si>
  <si>
    <t xml:space="preserve">hideErrorStacks, hideVersionStrings, secureCookies (after confirming HTTPS-only), session idle/max timeouts, single session, wiki upload allow-list, export restrictions, non-clickable table links, and remove filesystem_root.</t>
  </si>
  <si>
    <t xml:space="preserve">7</t>
  </si>
  <si>
    <t xml:space="preserve">Plan the 15.x upgrade and architecture discussion</t>
  </si>
  <si>
    <t xml:space="preserve">ARCH-002, ARCH-001, ARCH-003, GENAI-003</t>
  </si>
  <si>
    <t xml:space="preserve">Schedule the DSS 15 upgrade (1 major behind) and check RHEL 8 support for it. Confirm the Design -&gt; Deployer -&gt; Automation path. Set the Trace Explorer default webapp.</t>
  </si>
  <si>
    <t xml:space="preserve">id</t>
  </si>
  <si>
    <t xml:space="preserve">priority</t>
  </si>
  <si>
    <t xml:space="preserve">check_type</t>
  </si>
  <si>
    <t xml:space="preserve">subtopic</t>
  </si>
  <si>
    <t xml:space="preserve">title</t>
  </si>
  <si>
    <t xml:space="preserve">statement</t>
  </si>
  <si>
    <t xml:space="preserve">parameter_hint</t>
  </si>
  <si>
    <t xml:space="preserve">operator</t>
  </si>
  <si>
    <t xml:space="preserve">expected_value</t>
  </si>
  <si>
    <t xml:space="preserve">unit</t>
  </si>
  <si>
    <t xml:space="preserve">expected_condition_notes</t>
  </si>
  <si>
    <t xml:space="preserve">supporting_evidence</t>
  </si>
  <si>
    <t xml:space="preserve">contradicting_evidence</t>
  </si>
  <si>
    <t xml:space="preserve">insufficient_evidence_handling</t>
  </si>
  <si>
    <t xml:space="preserve">rationale</t>
  </si>
  <si>
    <t xml:space="preserve">dataiku_concepts</t>
  </si>
  <si>
    <t xml:space="preserve">source_document</t>
  </si>
  <si>
    <t xml:space="preserve">source_page</t>
  </si>
  <si>
    <t xml:space="preserve">source_section</t>
  </si>
  <si>
    <t xml:space="preserve">confidence</t>
  </si>
  <si>
    <t xml:space="preserve">ambiguity_notes</t>
  </si>
  <si>
    <t xml:space="preserve">validation_status</t>
  </si>
  <si>
    <t xml:space="preserve">evidence_found</t>
  </si>
  <si>
    <t xml:space="preserve">notes</t>
  </si>
  <si>
    <t xml:space="preserve">validated_at</t>
  </si>
  <si>
    <t xml:space="preserve">validated_by</t>
  </si>
  <si>
    <t xml:space="preserve">must_have</t>
  </si>
  <si>
    <t xml:space="preserve">qualitative_practice</t>
  </si>
  <si>
    <t xml:space="preserve">Deployment Infrastructure</t>
  </si>
  <si>
    <t xml:space="preserve">Production-grade Dataiku deployments should separate experimental/design work from production runs by leveraging dedicated automation nodes; reviewers should discuss the Design -&gt; Deployer -&gt; Automation Node architecture with the customer and flag gaps, even though standing up new nodes is out of scope for the review itself.</t>
  </si>
  <si>
    <t xml:space="preserve">Diagnosis shows a distinct automation node (or nodes) separate from the design node, with a deployer configured and bundles being pushed from design to automation.</t>
  </si>
  <si>
    <t xml:space="preserve">Only a single design node is used to run both experimentation and production workloads, with no automation node or deployer in use.</t>
  </si>
  <si>
    <t xml:space="preserve">If the diagnosis file does not expose node topology/roles, flag needs_manual_review and recommend discussing the Design -&gt; Deployer -&gt; Automation architecture directly with the customer.</t>
  </si>
  <si>
    <t xml:space="preserve">Mixing experimental and production work on the same node risks instability and is not considered production-ready.</t>
  </si>
  <si>
    <t xml:space="preserve">Design node, Automation node, Deployer, Bundles</t>
  </si>
  <si>
    <t xml:space="preserve">architecture_compute_cost</t>
  </si>
  <si>
    <t xml:space="preserve">1, 2</t>
  </si>
  <si>
    <t xml:space="preserve">Dataiku Deployment Infrastructure | MUST HAVE; Dataiku Deployment Infrastructure | MUST HAVE</t>
  </si>
  <si>
    <t xml:space="preserve">high</t>
  </si>
  <si>
    <t xml:space="preserve">apps/dss/data_design/install.ini: nodetype=design, nodeid=p4d. apps/dss/data_design/config/general-settings.json deployerClientSettings.mode=LOCAL (a remote nodeUrl https://deploy.ds.p.data.slb.com/ is recorded but not in use); config/project-deployer has only projects/ADMINISTRATIONPROJECT.json and no infrastructures; config/api-deployer/infras/P4D_Local.json type=STATIC, stage=Development. governIntegrationSettings.nodeUrl=https://govern.ds.p.data.slb.com.</t>
  </si>
  <si>
    <t xml:space="preserve">ARCH-002</t>
  </si>
  <si>
    <t xml:space="preserve">nice_to_have</t>
  </si>
  <si>
    <t xml:space="preserve">Platform Versioning</t>
  </si>
  <si>
    <t xml:space="preserve">Regular DSS Version Upgrades</t>
  </si>
  <si>
    <t xml:space="preserve">Dataiku recommends customers stay reasonably current on DSS versions to benefit from continuous platform improvements; reviewers should identify and recommend an upgrade if appropriate, but the upgrade itself is a separate service-catalog engagement and should not be performed during the review.</t>
  </si>
  <si>
    <t xml:space="preserve">Diagnosis shows a DSS version reasonably close to the latest generally available release.</t>
  </si>
  <si>
    <t xml:space="preserve">Diagnosis shows a DSS version many releases behind current, or a version approaching/at end-of-life.</t>
  </si>
  <si>
    <t xml:space="preserve">If the diagnosis file lacks version information or there is no context on Dataiku's release cadence, flag needs_manual_review and recommend checking DSS release notes for the customer's version.</t>
  </si>
  <si>
    <t xml:space="preserve">Dataiku regularly enriches the platform, so staying current continuously brings value and new opportunities to customers.</t>
  </si>
  <si>
    <t xml:space="preserve">DSS version, Upgrade</t>
  </si>
  <si>
    <t xml:space="preserve">Dataiku Version | NICE TO HAVE</t>
  </si>
  <si>
    <t xml:space="preserve">apps/dss/data_design/dss-version.json: product_version=14.4.3 (conf_version 14430). Latest GA found: DSS 15.0.2, released 24 Sep 2026 (15.0.0 released 14 Aug 2026). Source: https://doc.dataiku.com/dss/latest/release_notes/index.html</t>
  </si>
  <si>
    <t xml:space="preserve">The bundle is 1 major version behind (14.x vs 15.x). Per the internal rule, a major-version gap means Needs Review, not Fail. Plan a 15.x upgrade as a separate engagement. Remove stale 13.4.2/14.1.4 image references at the same time (see ARCH-010, SCALE-006).</t>
  </si>
  <si>
    <t xml:space="preserve">ARCH-003</t>
  </si>
  <si>
    <t xml:space="preserve">Operating System</t>
  </si>
  <si>
    <t xml:space="preserve">Supported Operating System Version</t>
  </si>
  <si>
    <t xml:space="preserve">DSS should run on an operating system version officially supported by Dataiku, which mainly matters for custom installs since Cloud Stacks provides a supported OS image by default; reviewers should compare the current OS against Dataiku's supported OS list and deprecation notices and recommend upgrades if needed.</t>
  </si>
  <si>
    <t xml:space="preserve">Diagnosis or accompanying metadata shows the host OS and version currently listed as supported in Dataiku's Supported Operating Systems documentation.</t>
  </si>
  <si>
    <t xml:space="preserve">The host OS/version is deprecated or not on Dataiku's supported list for the installed DSS version.</t>
  </si>
  <si>
    <t xml:space="preserve">If the diagnosis file does not capture OS name/version, flag needs_manual_review and cross-check against Dataiku's Supported Operating Systems documentation.</t>
  </si>
  <si>
    <t xml:space="preserve">Running on an unsupported OS risks instability and lack of vendor support.</t>
  </si>
  <si>
    <t xml:space="preserve">Operating System, Custom install, Cloud Stacks</t>
  </si>
  <si>
    <t xml:space="preserve">Operating System Version | MUST HAVE</t>
  </si>
  <si>
    <t xml:space="preserve">medium</t>
  </si>
  <si>
    <t xml:space="preserve">The source includes an empty 'DiagParser3:' heading with no field specified underneath, so no literal parameter path could be extracted; treated as a qualitative check instead.</t>
  </si>
  <si>
    <t xml:space="preserve">hs_err_pid*.log Host line and diag.txt (/etc/redhat-release): Red Hat Enterprise Linux release 8.10 (Ootpa); kernel 4.18.0-553.144.1.el8_10.x86_64; syspackages.txt: redhat-release-8.10-0.3.el8.</t>
  </si>
  <si>
    <t xml:space="preserve">RHEL 8.x is on Dataiku's supported custom-install list for DSS 14 (https://doc.dataiku.com/dss/latest/installation/custom/requirements.html). The page could not be fetched live during this review, so confirm the minor-version floor. Also check that RHEL 8 stays supported for the planned 15.x upgrade (ARCH-002) before scheduling it; RHEL 9 is the longer-lived target.</t>
  </si>
  <si>
    <t xml:space="preserve">Storage</t>
  </si>
  <si>
    <t xml:space="preserve">DSS should run on SSD drives rather than legacy rotational hard drives, since rotational disks can significantly degrade performance, especially on larger, multi-user instances (potentially causing a non-workable experience); reviewers should identify currently used disk types and recommend migration to SSD where feasible, noting this is typically easier on cloud than on-premise deployments.</t>
  </si>
  <si>
    <t xml:space="preserve">Diagnosis or infrastructure metadata indicates SSD-backed storage underlying the DATADIR.</t>
  </si>
  <si>
    <t xml:space="preserve">Diagnosis or infrastructure metadata indicates rotational HDD storage is in use, particularly on a larger or many-user instance.</t>
  </si>
  <si>
    <t xml:space="preserve">If the diagnosis file does not report the underlying disk/storage medium, flag needs_manual_review and ask the infrastructure team/customer directly.</t>
  </si>
  <si>
    <t xml:space="preserve">Rotational hard drives can severely impact performance and, on larger instances with many users, may lead to a non-workable experience.</t>
  </si>
  <si>
    <t xml:space="preserve">Disk I/O, SSD, DATADIR</t>
  </si>
  <si>
    <t xml:space="preserve">2, 3</t>
  </si>
  <si>
    <t xml:space="preserve">Use of SSDs | MUST HAVE; Use of SSDs | MUST HAVE</t>
  </si>
  <si>
    <t xml:space="preserve">apps/dss/data_design/run/sanity-check.json: WARN_MISC_DISK_ROTATIONAL - DATA_DIR on '/dev/mapper/vg01-vol01' seems to be a rotational hard drive. diag.txt lsblk -t: ROTA=1 for sdb/vg01-vol01 (800G, 74% used, mounted /apps).</t>
  </si>
  <si>
    <t xml:space="preserve">ARCH-005</t>
  </si>
  <si>
    <t xml:space="preserve">specific_setting</t>
  </si>
  <si>
    <t xml:space="preserve">Spark Configuration</t>
  </si>
  <si>
    <t xml:space="preserve">Valid Spark Configuration for Spark Jobs</t>
  </si>
  <si>
    <t xml:space="preserve">Environments that run Spark jobs must have a valid Spark configuration set (general-settings.json under sparkSettings, or via Administration &gt; Settings &gt; Spark); the specific example values Dataiku provides are only a baseline, not a strict requirement, but a workable config must exist wherever Spark is used.</t>
  </si>
  <si>
    <t xml:space="preserve">general-settings.json &gt; sparkSettings</t>
  </si>
  <si>
    <t xml:space="preserve">exists</t>
  </si>
  <si>
    <t xml:space="preserve">valid spark configuration present</t>
  </si>
  <si>
    <t xml:space="preserve">Required only if the environment executes Spark jobs; the specific parameter values shown by Dataiku are illustrative, not mandatory.</t>
  </si>
  <si>
    <t xml:space="preserve">sparkSettings block is present and non-empty in general-settings.json, consistent with evidence of successful Spark job execution elsewhere in the diagnosis.</t>
  </si>
  <si>
    <t xml:space="preserve">sparkSettings is missing or empty while the instance shows evidence of Spark recipes/jobs being used.</t>
  </si>
  <si>
    <t xml:space="preserve">If the diagnosis file does not indicate whether Spark is used at all, flag needs_manual_review to confirm with the customer whether Spark jobs are run.</t>
  </si>
  <si>
    <t xml:space="preserve">Without a valid Spark config, Spark jobs cannot execute at all.</t>
  </si>
  <si>
    <t xml:space="preserve">Spark, general-settings.json, sparkSettings</t>
  </si>
  <si>
    <t xml:space="preserve">3, 4</t>
  </si>
  <si>
    <t xml:space="preserve">Spark runtime configurations | MUST HAVE if running spark jobs; Spark runtime configurations | MUST HAVE if running spark jobs</t>
  </si>
  <si>
    <t xml:space="preserve">apps/dss/data_design/config/general-settings.json sparkSettings.sparkEnabled=true with 3 executionConfigs (spark_small_config/spark_medium_config/spark_large_config), managedKubernetes=true, spark.driver.host=10.196.183.29. backend.log*: 'dku.spark.submit.k8s.helper - Setting up managed Kubernetes context' and 'dku.jobs.postactions.pods - Pods corresponding to job' (Spark on K8s is in use). Spark base images built for 14.4.3 (run/built-base-images.json).</t>
  </si>
  <si>
    <t xml:space="preserve">A valid Spark config exists and is being used. Related sanity warning: WARN_CONNECTION_SPARK_NO_GROUP_WITH_DETAILS_READ_ACCESS on 'ear27331_blob_stg_1' (see SCALE-012). The configs are all sized identically (see ARCH-006).</t>
  </si>
  <si>
    <t xml:space="preserve">ARCH-006</t>
  </si>
  <si>
    <t xml:space="preserve">Baseline Spark Configuration Set (High/Standard/Large-memory/High I/O)</t>
  </si>
  <si>
    <t xml:space="preserve">Dataiku recommends defining multiple named Spark configurations as a tunable baseline: a default Standard config for recipes and notebooks, a High config for higher parallelism, a Large memory config for the largest jobs, and an optional High I/O config for read/write-heavy workloads with a high cores-to-memory ratio.</t>
  </si>
  <si>
    <t xml:space="preserve">general-settings.json &gt; sparkSettings (named spark configs)</t>
  </si>
  <si>
    <t xml:space="preserve">one_of</t>
  </si>
  <si>
    <t xml:space="preserve">Standard/High/Large-memory baseline configs, plus optional High I/O config, as documented</t>
  </si>
  <si>
    <t xml:space="preserve">Baseline reference values: Standard config \4, spspark.executor.memory=6g, spark.executor.cores=2, spark.kubernetes.memoryOverheadFactor=0.4, spark.driver.memory=1g, spark.sql.shuffle.partitions=40, spark.sql.broadcastTimeout=3600, spark.port.maxRetries=200, spark.driver.host=&lt;DSS host IP&gt;. High config - spark.executor.instances=12, spark.executor.memory=6g, spark.executor.cores=2, spark.kubernetes.memoryOverheadFactor=0.4, spark.driver.memory=1g, spark.sql.shuffle.partitions=80, spark.sql.broadcastTimeout=3600, spark.port.maxRetries=200, spark.driver.host=&lt;DSS host IP&gt;. Large memory config - spark.executor.instances=4, spark.executor.memory=12g, spark.executor.cores=2, spark.kubernetes.memoryOverheadFactor=0.6, spark.driver.memory=3g, spark.sql.shuffle.partitions=80, spark.sql.broadcastTimeout=3600, spark.port.maxRetries=200, spark.driver.host=&lt;DSS host IP&gt;. Optional High I/O config (only if there is a use case for it) - spark.executor.instances=2, spark.executor.memory=16g, spark.executor.cores=8, spark.kubernetes.memoryOverheadFactor=0.4, spark.driver.memory=3g, spark.sql.shuffle.partitions=40, spark.sql.broadcastTimeout=3600, spark.port.maxRetries=200, spark.driver.host=&lt;DSS host IP&gt;. These values are guidance, not a requirement.</t>
  </si>
  <si>
    <t xml:space="preserve">sparkSettings contains multiple named configs roughly matching these purposes (default/high-parallelism/large-memory, and optionally high I/O).</t>
  </si>
  <si>
    <t xml:space="preserve">Only a single undifferentiated spark config exists despite varied workload needs (e.g., both lightweight recipes and large jobs run identically).</t>
  </si>
  <si>
    <t xml:space="preserve">If the diagnosis file does not list multiple sparkSettings configs or describe workload diversity, flag needs_manual_review and ask about workload variety.</t>
  </si>
  <si>
    <t xml:space="preserve">Different Spark workloads (lightweight recipes vs. large jobs vs. I/O-heavy jobs) benefit from different executor sizing and parallelism trade-offs.</t>
  </si>
  <si>
    <t xml:space="preserve">Spark executor, Spark configuration, Kubernetes</t>
  </si>
  <si>
    <t xml:space="preserve">4, 5</t>
  </si>
  <si>
    <t xml:space="preserve">Define three spark configs - NICE TO HAVE; Special spark configs (only if there's use case for it)</t>
  </si>
  <si>
    <t xml:space="preserve">apps/dss/data_design/config/general-settings.json sparkSettings.executionConfigs: spark_small_config, spark_medium_config and spark_large_config all have the same conf: spark.executor.memory=4g, spark.sql.shuffle.partitions=40, spark.kubernetes.memoryOverheadFactor=0.2, spark.kubernetes.executor.limit.cores=1. No spark.executor.instances/cores/driver.memory set. configForJupyter/SEK/Interactive=spark_small_config.</t>
  </si>
  <si>
    <t xml:space="preserve">The three named configs suggest intent to tier workloads, but they are functionally identical, so 'medium' and 'large' give no extra capacity. Differentiate them, e.g. medium: executor.instances=12 and shuffle.partitions=80; large: executor.memory=12g, memoryOverheadFactor=0.6, driver.memory=3g. Set explicit executor.instances/cores. Dataiku's baseline values are guidance only.</t>
  </si>
  <si>
    <t xml:space="preserve">ARCH-007</t>
  </si>
  <si>
    <t xml:space="preserve">Kubernetes Namespace and Auth Recommendations for Spark</t>
  </si>
  <si>
    <t xml:space="preserve">For Spark-on-Kubernetes, Dataiku recommends one Kubernetes namespace per user (e.g. dss-ns-${dssUserLogin}), auto-creating namespaces, ensuring namespace names are Kubernetes-compliant, and dynamically creating service accounts for authentication mode.</t>
  </si>
  <si>
    <t xml:space="preserve">general-settings.json &gt; sparkSettings (Kubernetes namespace/authentication settings)</t>
  </si>
  <si>
    <t xml:space="preserve">equals</t>
  </si>
  <si>
    <t xml:space="preserve">one namespace per user (dss-ns-${dssUserLogin}), auto-create namespaces enabled, K8s-compliant naming, dynamic service account creation</t>
  </si>
  <si>
    <t xml:space="preserve">No single literal diag field was given for this sub-setting; pointer is a best-effort conceptual location within sparkSettings/Kubernetes settings.</t>
  </si>
  <si>
    <t xml:space="preserve">Namespace naming pattern and auto-create/dynamic service account settings match the recommendation.</t>
  </si>
  <si>
    <t xml:space="preserve">A single shared namespace is used for all users, or service accounts are managed manually rather than dynamically.</t>
  </si>
  <si>
    <t xml:space="preserve">If the diagnosis file does not expose namespace or authentication configuration for Spark-on-Kubernetes, flag needs_manual_review.</t>
  </si>
  <si>
    <t xml:space="preserve">Per-user namespace isolation improves security boundaries and resource tracking on Kubernetes.</t>
  </si>
  <si>
    <t xml:space="preserve">Kubernetes namespace, Service account, Spark on Kubernetes</t>
  </si>
  <si>
    <t xml:space="preserve">Recommended Settings NICE TO HAVE</t>
  </si>
  <si>
    <t xml:space="preserve">apps/dss/data_design/config/general-settings.json sparkSettings.executionConfigs[*].kubernetesSettings: managedNamespace='${namespace}', authenticationMode=DYNAMIC_SERVICE_ACCOUNT, createNamespace=false, ensureNamespaceCompliance=false. At runtime the namespace resolves per project, not per user: backend.log* shows 'kubectl --namespace dss-29925-p4d' (14,143 occurrences). apps/dss/data_design/config/clusters/P4D.json type=manual.</t>
  </si>
  <si>
    <t xml:space="preserve">The per-user namespace shortcut does not apply because this is a manual (externally registered) cluster, so the item was judged on its merits. Dynamic service accounts are used (good). The namespace is templated, but it resolves per project/EAR (dss-&lt;EAR&gt;-p4d) rather than per user. Auto-create and K8s-compliance enforcement are off. This may be a deliberate per-project isolation model; confirm with the customer. If per-user isolation is wanted, use dss-ns-${dssUserLogin}, enable createNamespace and enable ensureNamespaceCompliance.</t>
  </si>
  <si>
    <t xml:space="preserve">Spark Validation</t>
  </si>
  <si>
    <t xml:space="preserve">Reviewers should functionally validate Spark execution: run a Spark-engine recipe on Kubernetes in a test project (should succeed), and separately launch a Python/R/Scala notebook with starter Spark code and run it locally (should succeed, with Spark executor pods visible in the cluster while the code runs).</t>
  </si>
  <si>
    <t xml:space="preserve">Job/notebook execution logs show successful completion of a Spark recipe and a Spark notebook session, and cluster monitoring shows executor pods created during notebook execution.</t>
  </si>
  <si>
    <t xml:space="preserve">The Spark recipe or notebook execution fails, hangs, or no executor pods ever appear in the cluster.</t>
  </si>
  <si>
    <t xml:space="preserve">If the diagnosis file lacks job/notebook execution logs or cluster pod visibility, flag needs_manual_review and recommend running these test steps manually.</t>
  </si>
  <si>
    <t xml:space="preserve">Confirms Spark integration works end-to-end, beyond just having a syntactically valid configuration.</t>
  </si>
  <si>
    <t xml:space="preserve">Spark recipe, Spark notebook, Kubernetes executor pods</t>
  </si>
  <si>
    <t xml:space="preserve">5, 6, 7</t>
  </si>
  <si>
    <t xml:space="preserve">Additional Spark testing; Spark on Notebook MUST HAVE; Spark on Notebook MUST HAVE</t>
  </si>
  <si>
    <t xml:space="preserve">backend.log*: 'dku.spark.submit.k8s.helper - Dumping namespace pods state before starting Spark job' (12x) and 'dku.jobs.postactions.pods - Pods corresponding to job' (15x) show Spark jobs launching pods in dss-29925-p4d. No SparkException or failed-job pattern was found. No notebook-side Spark session evidence.</t>
  </si>
  <si>
    <t xml:space="preserve">Network Connectivity</t>
  </si>
  <si>
    <t xml:space="preserve">Full bidirectional network connectivity between DSS and the Kubernetes/Elastic AI cluster is mandatory: workers must be able to reach Dataiku (required for Spark to start and for any container execution), and Dataiku must be able to reach workers (required for operations that bring data back to the driver, e.g. toPandas/collect/head/show/broadcast join). This should be validated by running a pySpark recipe that pulls data back to the driver and confirming success via the Main Activity Log.</t>
  </si>
  <si>
    <t xml:space="preserve">A pySpark recipe using collect/head/show/toPandas completes successfully, with a corresponding HEAD operation visible in the Main Activity Log, and no worker-to-DSS or DSS-to-worker connectivity errors appear in logs.</t>
  </si>
  <si>
    <t xml:space="preserve">Connection timeouts or errors between workers and the DSS host in logs, or driver-return operations failing/hanging.</t>
  </si>
  <si>
    <t xml:space="preserve">If the diagnosis file lacks job logs or network topology details, flag needs_manual_review and recommend running the described test recipe.</t>
  </si>
  <si>
    <t xml:space="preserve">Both directions of connectivity are mandatory prerequisites for Spark to start and for common data-return operations to work.</t>
  </si>
  <si>
    <t xml:space="preserve">Spark driver, Spark workers, Network connectivity, Kubernetes</t>
  </si>
  <si>
    <t xml:space="preserve">Connectivity between Dataiku and Elastic AI must be fully open MUST HAVE</t>
  </si>
  <si>
    <t xml:space="preserve">spark.driver.host=10.196.183.29 is set in every Spark config. backend.log*: 26x java.net.SocketTimeoutException 'Read timed out' and 30x 'Could not stop Kubernetes deployment' [dku.webapps.kubernetes]; several kubectl port-forward 'error forwarding port' / 'connect() failed (Connection refused)' lines.</t>
  </si>
  <si>
    <t xml:space="preserve">ARCH-010</t>
  </si>
  <si>
    <t xml:space="preserve">Containerized Execution</t>
  </si>
  <si>
    <t xml:space="preserve">Valid Containerized Execution Configuration</t>
  </si>
  <si>
    <t xml:space="preserve">Environments using Elastic Compute (Kubernetes) must have at least one valid containerized execution configuration set up (general-settings.json &gt; containerSettings, or Administration &gt; Settings &gt; Containerized execution); as with Spark, the specific example values are only a baseline, not a strict requirement.</t>
  </si>
  <si>
    <t xml:space="preserve">general-settings.json &gt; containerSettings</t>
  </si>
  <si>
    <t xml:space="preserve">valid containerized execution configuration present</t>
  </si>
  <si>
    <t xml:space="preserve">Required only when the customer uses Elastic Compute/Kubernetes for offloaded workloads.</t>
  </si>
  <si>
    <t xml:space="preserve">containerSettings block is present with at least one named config with reasonable memory requests/limits.</t>
  </si>
  <si>
    <t xml:space="preserve">containerSettings is missing or empty while the instance shows evidence of Kubernetes-based execution elsewhere in the diagnosis.</t>
  </si>
  <si>
    <t xml:space="preserve">If the diagnosis file does not clarify whether Elastic Compute is used, flag needs_manual_review.</t>
  </si>
  <si>
    <t xml:space="preserve">A valid container exec config is required to run workloads in Kubernetes.</t>
  </si>
  <si>
    <t xml:space="preserve">Containerized execution, containerSettings, Elastic Compute</t>
  </si>
  <si>
    <t xml:space="preserve">8</t>
  </si>
  <si>
    <t xml:space="preserve">Containerized execution configs | MUST HAVE if using Elastic Compute</t>
  </si>
  <si>
    <t xml:space="preserve">apps/dss/data_design/config/general-settings.json containerSettings.executionConfigs: 5 KUBERNETES configs. py_small_config 1024/4096MB, py_medium_config 6144/12288MB, py_large_config 8192/16384MB, py_gpu_medium_config 6144/12288MB + 1 GPU, py_gpu_large_config 8192/16384MB + GPU. All have memory/CPU requests and limits. defaultK8sClusterId='P4D'.</t>
  </si>
  <si>
    <t xml:space="preserve">A K8s cluster is attached (P4D), so this is a must-have and it is met. Gap: both GPU configs use baseImage 'dataiku-exec-gpu:13.4.2', which the sanity check reports as missing (apps/dss/data_design/run/sanity-check.json WARN_MISC_BASE_IMAGE_NOT_FOUND). GPU workloads will fail until a 14.4.3 GPU image is built and referenced.</t>
  </si>
  <si>
    <t xml:space="preserve">ARCH-011</t>
  </si>
  <si>
    <t xml:space="preserve">Baseline Container Execution Configs (Standard, Webapp) and Namespace Settings</t>
  </si>
  <si>
    <t xml:space="preserve">Dataiku recommends at least two named containerized execution configs as a baseline - a Standard config for notebooks/recipes/ML (memory request 200MB, memory limit 16000MB) and a Webapp config for webapps (memory request 500MB, memory limit 500MB) - plus per-user Kubernetes namespaces (dss-ns-${dssUserLogin}) with K8s-compliant naming and auto-creation, and using the Webapp config for virtual webapp backends run in containers.</t>
  </si>
  <si>
    <t xml:space="preserve">general-settings.json &gt; containerSettings (named container exec configs)</t>
  </si>
  <si>
    <t xml:space="preserve">Standard config (memory request 200MB / limit 16000MB) and Webapp config (memory request 500MB / limit 500MB)</t>
  </si>
  <si>
    <t xml:space="preserve">MB</t>
  </si>
  <si>
    <t xml:space="preserve">Additional recommended settings: one Kubernetes namespace per user (dss-ns-${dssUserLogin}), K8s-compliant namespace names, auto-create namespaces, and virtual webapps configured to run in a container using the Webapp config.</t>
  </si>
  <si>
    <t xml:space="preserve">containerSettings includes configs resembling the Standard and Webapp purposes with comparable memory request/limit values, and namespace settings follow a per-user pattern.</t>
  </si>
  <si>
    <t xml:space="preserve">A single undifferentiated container config is used for both interactive workloads and webapps, or all users share one namespace.</t>
  </si>
  <si>
    <t xml:space="preserve">If the diagnosis file does not list named container configs or namespace settings, flag needs_manual_review.</t>
  </si>
  <si>
    <t xml:space="preserve">Separating configs by workload type avoids over- or under-provisioning; per-user namespaces aid isolation and cost tracking.</t>
  </si>
  <si>
    <t xml:space="preserve">Containerized execution, Kubernetes namespace, Webapp backend</t>
  </si>
  <si>
    <t xml:space="preserve">8, 9</t>
  </si>
  <si>
    <t xml:space="preserve">Recommendations NICE TO HAVE; Recommended Settings</t>
  </si>
  <si>
    <t xml:space="preserve">apps/dss/data_design/config/general-settings.json containerSettings: several configs with genuinely different sizes (requests/limits 1G/4G, 6G/12G, 8G/16G, plus GPU variants). virtualWebAppBackendSettings.infra.containerSelection = EXPLICIT_CONTAINER py_small_config. kubernetesNamespace='${namespace}' on all configs (resolves to dss-29925-p4d at runtime).</t>
  </si>
  <si>
    <t xml:space="preserve">Pass under the internal calibration: more than one container config with varying sizes is sufficient, even though names and figures differ from the Standard/Webapp example. Notes: (1) virtual webapps run in py_small_config (1G/4G); a dedicated small webapp config would be cleaner. (2) Namespaces resolve per project, not per user (see ARCH-007), and createNamespace/ensureNamespaceCompliance are false.</t>
  </si>
  <si>
    <t xml:space="preserve">Containerized Execution Validation</t>
  </si>
  <si>
    <t xml:space="preserve">Reviewers should validate containerized execution end-to-end: execute a recipe in Kubernetes, launch a notebook in the cluster (pod visible in Cluster Monitoring UI), create a test webapp configured with a container backend (deployment visible in Cluster Monitoring UI), and deploy an API service to Kubernetes via the API Deployer (deployment visible in Cluster Monitoring UI and callable via sample code).</t>
  </si>
  <si>
    <t xml:space="preserve">Cluster monitoring evidence or reviewer test logs show successful recipe execution, a notebook pod, a webapp deployment, and an API deployment all running in Kubernetes, with the API additionally callable via sample code.</t>
  </si>
  <si>
    <t xml:space="preserve">Any of the four (recipe, notebook, webapp, API) fails to launch, or no corresponding pods/deployments ever appear in Cluster Monitoring.</t>
  </si>
  <si>
    <t xml:space="preserve">If the diagnosis file does not include cluster monitoring or job execution evidence for these workload types, flag needs_manual_review and recommend running these four test steps manually.</t>
  </si>
  <si>
    <t xml:space="preserve">Confirms containerized execution actually works for all major workload types, not merely that configuration exists.</t>
  </si>
  <si>
    <t xml:space="preserve">Kubernetes, Recipe, Notebook, Webapp, API Deployer, Cluster Monitoring</t>
  </si>
  <si>
    <t xml:space="preserve">9, 10, 11, 12</t>
  </si>
  <si>
    <t xml:space="preserve">Additional container execution testing; Webapp MUST HAVE; API MUST HAVE; API MUST HAVE</t>
  </si>
  <si>
    <t xml:space="preserve">backend.log*: many streamlit/code-studio K8s deployments (e.g. 'kubectl --namespace dss-29925-p4d get deployments -l dataiku.com/dku-execution-id=streamlit-...'), 7,857 'Getting webapp log tail'. 6,840x ERROR '/dip/api/tintercom/containers/get-execution' failed: 'Unknown execution context: code-studio-as-webapp-...'. api-deployer infra P4D_Local type=STATIC (not K8s).</t>
  </si>
  <si>
    <t xml:space="preserve">ARCH-013</t>
  </si>
  <si>
    <t xml:space="preserve">Cluster Configuration</t>
  </si>
  <si>
    <t xml:space="preserve">Valid Cluster Configuration for Elastic Compute</t>
  </si>
  <si>
    <t xml:space="preserve">Environments using Elastic Compute must have at least one valid cluster configured (found under {DATADIR}/config/clusters or Administration &gt; Clusters); Dataiku does not mandate the specific example configuration, only that a workable cluster exists.</t>
  </si>
  <si>
    <t xml:space="preserve">{DATADIR}/config/clusters</t>
  </si>
  <si>
    <t xml:space="preserve">at least one valid cluster configuration present</t>
  </si>
  <si>
    <t xml:space="preserve">The clusters config/directory contains at least one properly defined cluster, consistent with other evidence of elastic-compute usage (spark/container jobs running on Kubernetes).</t>
  </si>
  <si>
    <t xml:space="preserve">No cluster configuration is present despite evidence of Kubernetes-based workloads elsewhere in the diagnosis.</t>
  </si>
  <si>
    <t xml:space="preserve">If the diagnosis file does not clarify whether Elastic Compute is used at all, flag needs_manual_review.</t>
  </si>
  <si>
    <t xml:space="preserve">A valid cluster is required to offload computation to Kubernetes.</t>
  </si>
  <si>
    <t xml:space="preserve">Cluster, Managed cluster, Unmanaged cluster, Elastic AI</t>
  </si>
  <si>
    <t xml:space="preserve">12, 13</t>
  </si>
  <si>
    <t xml:space="preserve">Cluster configurations | MUST HAVE if using Elastic Compute; Cluster configurations | MUST HAVE if using Elastic Compute</t>
  </si>
  <si>
    <t xml:space="preserve">apps/dss/data_design/config/clusters/P4D.json: name=P4D, architecture=KUBERNETES, type=manual, permissions granted to 9 groups. apps/dss/data_design/config/general-settings.json defaultK8sClusterId='P4D'.</t>
  </si>
  <si>
    <t xml:space="preserve">A valid K8s cluster definition exists and is the global default. It is a manual (externally managed) cluster; see ARCH-014 for topology.</t>
  </si>
  <si>
    <t xml:space="preserve">ARCH-014</t>
  </si>
  <si>
    <t xml:space="preserve">Recommended Cluster Topology (Single Managed Cluster, Node Groups, Autoscaling)</t>
  </si>
  <si>
    <t xml:space="preserve">Dataiku recommends a single managed cluster with one CPU node group serving containerized execution, ML, Spark, webapp, and API workloads, adding a separate GPU node group only if needed, and enabling a metrics server plus cluster autoscaling.</t>
  </si>
  <si>
    <t xml:space="preserve">{DATADIR}/config/clusters (cluster topology / node group / autoscaling settings)</t>
  </si>
  <si>
    <t xml:space="preserve">single managed cluster, one CPU node group for all standard workloads, optional GPU node group only if needed, metrics server installed, autoscaling enabled</t>
  </si>
  <si>
    <t xml:space="preserve">No literal single field was given for this recommendation; pointer is a best-effort conceptual location within the clusters config.</t>
  </si>
  <si>
    <t xml:space="preserve">Cluster configuration shows one managed cluster with a shared CPU node group, autoscaling enabled, metrics server installed, and a GPU node group only present when GPU workloads exist.</t>
  </si>
  <si>
    <t xml:space="preserve">Multiple redundant clusters/node groups without clear justification, no autoscaling enabled, or a GPU node group present without any GPU workload evidence.</t>
  </si>
  <si>
    <t xml:space="preserve">If the diagnosis file does not detail node groups or autoscaling settings, flag needs_manual_review.</t>
  </si>
  <si>
    <t xml:space="preserve">Simplifies management and reduces cost while retaining elasticity for varying workloads.</t>
  </si>
  <si>
    <t xml:space="preserve">Managed cluster, Node group, Autoscaling, Metrics server</t>
  </si>
  <si>
    <t xml:space="preserve">14</t>
  </si>
  <si>
    <t xml:space="preserve">Recommended settings NICE TO HAVE</t>
  </si>
  <si>
    <t xml:space="preserve">apps/dss/data_design/config/clusters/P4D.json: single cluster, type=manual, params={} (no node-group, autoscaling or metrics-server details are visible to DSS).</t>
  </si>
  <si>
    <t xml:space="preserve">One cluster is used (aligned). It is manually registered, not a DSS-managed cluster, so node groups, autoscaling and metrics server cannot be verified from the bundle. GPU configs exist while the GPU image is missing. Confirm the GKE node pools (CPU plus an optional GPU pool), cluster autoscaler and metrics-server with the infra team.</t>
  </si>
  <si>
    <t xml:space="preserve">Cluster Sizing</t>
  </si>
  <si>
    <t xml:space="preserve">The Kubernetes cluster must be sized appropriately for the customer's workloads - large enough to avoid resource exhaustion but not so large as to waste resources. Dataiku's memory/disk calculation is only an illustrative baseline (not a mandatory formula), derived from Spark settings (general-settings.json &gt; sparkSettings), container exec settings (general-settings.json &gt; containerSettings), and global flow concurrency (general-settings.json &gt; maxRunningActivities).</t>
  </si>
  <si>
    <t xml:space="preserve">general-settings.json &gt; sparkSettings, general-settings.json &gt; containerSettings, general-settings.json &gt; maxRunningActivities (used to estimate cluster memory/disk sizing)</t>
  </si>
  <si>
    <t xml:space="preserve">greater_than_or_equal</t>
  </si>
  <si>
    <t xml:space="preserve">cluster capacity &gt;= estimated total_memory and disk needs derived from the formulas in notes</t>
  </si>
  <si>
    <t xml:space="preserve">GB</t>
  </si>
  <si>
    <t xml:space="preserve">Illustrative sizing formulas provided by Dataiku, reproduced in full: spark_recipes_memory = global flow concurrency*spark.executor.instances*spark.executor.memory*(1+spark.kubernetes.memoryOverheadFactor) [based on the largest spark config]. spark_notebooks_memory = 30%_DSS_users*spark.executor.instances*spark.executor.memory*(1+spark.kubernetes.memoryOverheadFactor) [using associated spark config]. jupyter_notebooks_memory = 30%_DSS_users * container exec memory limit [using associated container exec config]. total_memory = spark_recipes_memory + spark_notebooks_memory + jupyter_notebooks_memory. DISK = 25GB * spark.executor.instances. Recommended instance sizing: 64 GB &lt; worker size &lt; 128 GB. These are baselines/examples; the cluster need not match this exact calculation, but must be appropriately sized for the customer's workloads based on evidence, and should not be resized without evidence of resource exhaustion.</t>
  </si>
  <si>
    <t xml:space="preserve">Cluster memory/CPU capacity is consistent with or exceeds the estimated total_memory/disk needs given current spark/container/concurrency settings, with no signs of chronic resource exhaustion (OOM kills, pending pods) or gross over-provisioning.</t>
  </si>
  <si>
    <t xml:space="preserve">Cluster capacity is far below estimated needs (frequent OOM kills/evictions) or drastically oversized relative to workload with no growth justification.</t>
  </si>
  <si>
    <t xml:space="preserve">If the diagnosis file lacks cluster capacity metrics or the underlying spark/container/concurrency settings needed to compute the estimate, flag needs_manual_review and recommend gathering these values.</t>
  </si>
  <si>
    <t xml:space="preserve">Prevents both instability/performance degradation from under-sizing and cost waste from over-sizing.</t>
  </si>
  <si>
    <t xml:space="preserve">Cluster sizing, Spark executor memory, Container exec memory limit, maxRunningActivities, Global flow concurrency</t>
  </si>
  <si>
    <t xml:space="preserve">14, 15</t>
  </si>
  <si>
    <t xml:space="preserve">Cluster sizing | MUST HAVE; Cluster sizing | MUST HAVE</t>
  </si>
  <si>
    <t xml:space="preserve">No cluster capacity metrics in the bundle. Inputs: apps/dss/data_design/config/general-settings.json maxRunningActivities=5; Spark configs 4g executor, overhead 0.2, executor.instances unset (default 2); container limits up to 16384MB; 25 enabled users (config/users.json).</t>
  </si>
  <si>
    <t xml:space="preserve">Default Compute Settings</t>
  </si>
  <si>
    <t xml:space="preserve">If the customer intends to offload most or all recipes to Kubernetes, a default cluster (general-settings.json &gt; defaultK8sClusterId) and a default containerized execution config (general-settings.json &gt; defaultExecutionConfig) should be set globally rather than configured per-recipe or per-project; if this global default is set, the associated execution config must have properly configured resource requests/limits rather than being a resource-hogging default.</t>
  </si>
  <si>
    <t xml:space="preserve">general-settings.json &gt; defaultK8sClusterId and general-settings.json &gt; defaultExecutionConfig</t>
  </si>
  <si>
    <t xml:space="preserve">both set to valid, non-resource-hogging values when Elastic AI/offloading is used broadly</t>
  </si>
  <si>
    <t xml:space="preserve">Both defaultK8sClusterId and defaultExecutionConfig are set to valid values, and the referenced execution config has reasonable memory/CPU requests and limits.</t>
  </si>
  <si>
    <t xml:space="preserve">These fields are unset despite most recipes being offloaded to Kubernetes, or the default execution config lacks resource limits/requests (resource-hogging risk).</t>
  </si>
  <si>
    <t xml:space="preserve">If the diagnosis file does not clarify the proportion of recipes offloaded to Kubernetes, flag needs_manual_review to confirm intended usage pattern with the customer.</t>
  </si>
  <si>
    <t xml:space="preserve">Setting a global default simplifies configuration management and avoids inconsistent per-recipe settings; an unset or misconfigured default risks uncontrolled resource usage.</t>
  </si>
  <si>
    <t xml:space="preserve">defaultK8sClusterId, defaultExecutionConfig, Containerized execution, Elastic AI</t>
  </si>
  <si>
    <t xml:space="preserve">15, 16</t>
  </si>
  <si>
    <t xml:space="preserve">Default Cluster &amp; Default Containerized Execution Config | MUST HAVE if Elastic AI is used; Default Cluster &amp; Default Containerized Execution Config | MUST HAVE if Elastic AI is used</t>
  </si>
  <si>
    <t xml:space="preserve">apps/dss/data_design/config/general-settings.json defaultK8sClusterId='P4D' (set); containerSettings.defaultExecutionConfig='' (empty).</t>
  </si>
  <si>
    <t xml:space="preserve">ARCH-017</t>
  </si>
  <si>
    <t xml:space="preserve">Containerized Visual Recipes</t>
  </si>
  <si>
    <t xml:space="preserve">Containerized Visual Recipes (CDE) Enabled and Base Image Built</t>
  </si>
  <si>
    <t xml:space="preserve">If the customer intends to offload visual recipes to Kubernetes, CDE should be enabled (general-settings.json &gt; cdeEnabled) and its base image built via Administration &gt; Settings &gt; Containerized Execution &gt; Build image for containerized visual recipes; a default execution config for visual recipe workloads (general-settings.json &gt; defaultExecutionConfigForVisualRecipesWorkloads) should also be set, validated by confirming a simple recipe (e.g. a sync recipe) shows Engine: DSS (containerized).</t>
  </si>
  <si>
    <t xml:space="preserve">general-settings.json &gt; cdeEnabled and general-settings.json &gt; defaultExecutionConfigForVisualRecipesWorkloads</t>
  </si>
  <si>
    <t xml:space="preserve">cdeEnabled=true and defaultExecutionConfigForVisualRecipesWorkloads set to a valid execution config</t>
  </si>
  <si>
    <t xml:space="preserve">cdeEnabled is true, base CDE image build evidence exists, defaultExecutionConfigForVisualRecipesWorkloads is set, and a sample visual recipe shows Engine: DSS (containerized).</t>
  </si>
  <si>
    <t xml:space="preserve">cdeEnabled is false or unset while the customer relies on Kubernetes offloading for visual recipes, or a visual recipe fails to show the containerized engine.</t>
  </si>
  <si>
    <t xml:space="preserve">If the diagnosis file does not indicate whether visual recipe offloading to Kubernetes is desired, flag needs_manual_review.</t>
  </si>
  <si>
    <t xml:space="preserve">Ensures visual recipes can actually be executed on the cluster with an appropriate base image and default resource config.</t>
  </si>
  <si>
    <t xml:space="preserve">CDE, cdeEnabled, Visual recipes, Containerized execution</t>
  </si>
  <si>
    <t xml:space="preserve">16, 17, 18</t>
  </si>
  <si>
    <t xml:space="preserve">Containerized Visual Recipes (CDE) | NICE TO HAVE; Containerized Visual Recipes (CDE) | NICE TO HAVE; Containerized Visual Recipes (CDE) | NICE TO HAVE</t>
  </si>
  <si>
    <t xml:space="preserve">apps/dss/data_design/config/general-settings.json containerSettings.cdeEnabled=true, cdePluginSupport=true; defaultExecutionConfigForVisualRecipesWorkloads='' (empty). apps/dss/data_design/run/cde-images.json = {} (no CDE image recorded).</t>
  </si>
  <si>
    <t xml:space="preserve">CDE is switched on, but no visual-recipe default config is set and no CDE image build is recorded, so visual recipes cannot actually run containerised. Build the CDE image (Admin &gt; Settings &gt; Containerized Execution), set defaultExecutionConfigForVisualRecipesWorkloads, and check that a Sync recipe shows 'Engine: DSS (containerized)'. If visual-recipe offload is not wanted, switch cdeEnabled off to avoid confusion.</t>
  </si>
  <si>
    <t xml:space="preserve">SEC-001</t>
  </si>
  <si>
    <t xml:space="preserve">Instance Identification</t>
  </si>
  <si>
    <t xml:space="preserve">Verify/Capture Instance IDs</t>
  </si>
  <si>
    <t xml:space="preserve">For an established platform, confirm that each node's instance ID (found in {DATA_DIR}/install.ini) is accurately recorded in the platform's tracking/tooling system.</t>
  </si>
  <si>
    <t xml:space="preserve">Platform tooling/documentation shows an instance ID for each node matching the value found in {DATA_DIR}/install.ini on that node.</t>
  </si>
  <si>
    <t xml:space="preserve">Instance IDs are missing, blank, or mismatched between install.ini and the platform tooling records.</t>
  </si>
  <si>
    <t xml:space="preserve">A diagnosis file alone can show the instance ID value in install.ini but cannot confirm whether it is accurately recorded in external platform tooling; flag as needs_manual_review to cross-check against the tooling record.</t>
  </si>
  <si>
    <t xml:space="preserve">Accurate instance ID records ensure the platform tooling correctly tracks and manages each node.</t>
  </si>
  <si>
    <t xml:space="preserve">install.ini, instance tracking</t>
  </si>
  <si>
    <t xml:space="preserve">security_permissions_compliance</t>
  </si>
  <si>
    <t xml:space="preserve">Verify/Capture Instance IDs | NICE TO HAVE; DiagParser3</t>
  </si>
  <si>
    <t xml:space="preserve">No literal JSON field/diag pointer given beyond the file path itself; this is more a documentation-accuracy check than a technical setting.</t>
  </si>
  <si>
    <t xml:space="preserve">apps/dss/data_design/install.ini [general]: installid=GbpIpatzv3MFrFfE6MwSlXCg, nodeid=p4d, nodetype=design.</t>
  </si>
  <si>
    <t xml:space="preserve">The instance ID is present and was captured above. Cross-check it against the platform tooling / CMDB record for this node.</t>
  </si>
  <si>
    <t xml:space="preserve">SEC-002</t>
  </si>
  <si>
    <t xml:space="preserve">User Isolation Framework</t>
  </si>
  <si>
    <t xml:space="preserve">User Isolation Framework (UIF) Enabled with Appropriate Impersonation Rules</t>
  </si>
  <si>
    <t xml:space="preserve">Ensure the User Isolation Framework (UIF) is installed and enabled, with impersonation active and sensible impersonation rules in place (a one-to-one mapping or regex pattern ensuring all DSS users map to identities other than the dataiku service account). For Kubernetes workloads, one namespace per user is recommended; for Hadoop workloads, Sentry/Ranger should be used to manage access. Also check for any Sanity Check warnings regarding UIF.</t>
  </si>
  <si>
    <t xml:space="preserve">{DATA_DIR}/config/general-settings.json &gt; impersonation.enabled</t>
  </si>
  <si>
    <t xml:space="preserve">true</t>
  </si>
  <si>
    <t xml:space="preserve">general-settings.json shows impersonation.enabled: true with userRules configured as a one-to-one mapping or regex rule mapping DSS users to non-service-account identities; no Sanity Check warnings about UIF; for K8s workloads a per-user namespace strategy is evident; for Hadoop workloads Sentry/Ranger integration is present.</t>
  </si>
  <si>
    <t xml:space="preserve">impersonation.enabled is false or absent, userRules are missing/overly permissive (e.g., mapping to the dataiku service account), Sanity Check warnings reference UIF, or Kubernetes/Hadoop workloads lack namespace-per-user/Sentry-Ranger controls.</t>
  </si>
  <si>
    <t xml:space="preserve">If the diagnosis file lacks general-settings.json impersonation details or workload-specific config, flag as needs_manual_review, noting that longstanding instances without UIF require careful, considerate customer messaging and that disabling/downgrading UIF is not supported.</t>
  </si>
  <si>
    <t xml:space="preserve">UIF and correct impersonation rules are required for proper user isolation and security; without them workloads may run under a shared service account, creating security risk and instability in multi-user environments.</t>
  </si>
  <si>
    <t xml:space="preserve">User Isolation Framework, impersonation, Kubernetes namespaces, Hadoop Sentry/Ranger</t>
  </si>
  <si>
    <t xml:space="preserve">User Isolation Framework | MUST HAVE; User Isolation Framework | MUST HAVE (Front End/Back End/Notes)</t>
  </si>
  <si>
    <t xml:space="preserve">apps/dss/data_design/config/general-settings.json impersonation.enabled=true; userRules=[{scope: GLOBAL, type: IDENTITY}]; groupRules=[{type: IDENTITY}]. apps/dss/data_design/install.ini [mus] exec_wrapper_location=/etc/dataiku-security/GbpIpatzv3MFrFfE6MwSlXCg/execwrapper.sh. No UIF-related warnings in apps/dss/data_design/run/sanity-check.json.</t>
  </si>
  <si>
    <t xml:space="preserve">UIF is installed and enabled. The IDENTITY rule maps each DSS login to a same-named Unix user, not the service account (dss20677p4ddde01). K8s namespaces are per project, not per user (see ARCH-007). No Hadoop is in use, so Sentry/Ranger does not apply.</t>
  </si>
  <si>
    <t xml:space="preserve">Where cgroups are configured under UIF, verify that the cgroup hierarchies controlled by DSS are added to the additional_allowed_file_dirs configuration key under the dirs section of /etc/dataiku-security/INSTALL_ID/security-config.ini.</t>
  </si>
  <si>
    <t xml:space="preserve">/etc/dataiku-security/INSTALL_ID/security-config.ini &gt; [dirs] &gt; additional_allowed_file_dirs</t>
  </si>
  <si>
    <t xml:space="preserve">DSS-controlled cgroup hierarchy paths listed</t>
  </si>
  <si>
    <t xml:space="preserve">Literal file path and key given in source; exact expected paths are environment-specific so only existence/inclusion can be checked.</t>
  </si>
  <si>
    <t xml:space="preserve">security-config.ini shows additional_allowed_file_dirs under [dirs] populated with the cgroup hierarchy paths under DSS control.</t>
  </si>
  <si>
    <t xml:space="preserve">additional_allowed_file_dirs is missing or does not include the relevant cgroup hierarchy paths despite cgroups being enabled under UIF.</t>
  </si>
  <si>
    <t xml:space="preserve">If security-config.ini is not present in the diagnosis bundle, flag as needs_manual_review since this file is typically outside standard diagnostic exports.</t>
  </si>
  <si>
    <t xml:space="preserve">Proper directory allowlisting ensures DSS-managed cgroup hierarchies function correctly under user isolation.</t>
  </si>
  <si>
    <t xml:space="preserve">cgroups, security-config.ini, User Isolation Framework</t>
  </si>
  <si>
    <t xml:space="preserve">User Isolation Framework | MUST HAVE (Back End)</t>
  </si>
  <si>
    <t xml:space="preserve">/etc/dataiku-security/GbpIpatzv3MFrFfE6MwSlXCg/security-config.ini is not in the bundle (the etc/ folder only has security/limits.conf). apps/dss/data_design/config/general-settings.json cgroupSettings.enabled=true, cgroupsVersion=CGROUPS_V1, hierarchiesMountPoint=/sys/fs/cgroup, templates under memory/DSS/${user}/...</t>
  </si>
  <si>
    <t xml:space="preserve">CGroups</t>
  </si>
  <si>
    <t xml:space="preserve">Ensure cgroups support is enabled and a memory limit is configured for all memory cgroups, sized according to the recommended heuristic (e.g., 32GB VM -&gt; 10g, 64GB -&gt; 38g, 96GB -&gt; 60g, 128GB+ -&gt; 75% of physical memory), with cgroup placements set for all categories.</t>
  </si>
  <si>
    <t xml:space="preserve">{DATA_DIR}/config/general-settings.json &gt; cgroupSettings.enabled</t>
  </si>
  <si>
    <t xml:space="preserve">Additional checks required: cgroupSettings &gt; cgroups memory limit target should be set and sized per the documented heuristic (approx. 50-75% of physical memory depending on total RAM); no single literal field given for the limit value itself, so compare against the formula in evaluation_guidance.</t>
  </si>
  <si>
    <t xml:space="preserve">general-settings.json shows cgroupSettings.enabled: true, targets set for each category under cgroups, and a memory limit configured on memory cgroups (e.g., memory/DSS) that approximates the documented formula based on total instance memory (e.g., ~75% for &gt;120GB, ~66% for 60-120GB, total-20GB for 30-60GB, ~50% below 30GB). Front-end equivalent: Administration &gt; Settings &gt; Resource Control &gt; cgroups shows 'Enable cgroups support' selected with placements and memory limits configured.</t>
  </si>
  <si>
    <t xml:space="preserve">cgroupSettings.enabled is false/absent, no memory limit is set on memory cgroups, or the configured limit is far below the heuristic (e.g., unlimited or near-total memory), risking instability.</t>
  </si>
  <si>
    <t xml:space="preserve">If cgroupSettings or category placements are not visible in the diagnosis file, flag as needs_manual_review; also check whether the instance was recently reprovisioned (Cloud Stacks) or upgraded, as cgroup limits/placements may not auto-update and new placements may need to be added post-upgrade.</t>
  </si>
  <si>
    <t xml:space="preserve">A memory cgroup limit prevents runaway processes from destabilizing or degrading the DSS instance; sizing per the heuristic balances safety with usable memory.</t>
  </si>
  <si>
    <t xml:space="preserve">cgroups, memory limits, Resource Control</t>
  </si>
  <si>
    <t xml:space="preserve">3, 4, 5</t>
  </si>
  <si>
    <t xml:space="preserve">CGroups | MUST HAVE; CGroups | MUST HAVE (Review steps); CGroups | MUST HAVE (Notes)</t>
  </si>
  <si>
    <t xml:space="preserve">apps/dss/data_design/config/general-settings.json cgroupSettings.enabled=true; cgroups: memory/DSS memory.limit_in_bytes=40G, memory/DSS/${user}=6G. Host RAM about 62-64GB (diag.txt free -m total 63885MB; hs_err Host '62G'). Targets are empty for: deploymentHooks, devLambdaServer, customPythonDataAccessComponents, projectStandards, storiesJobs, edaRecipes. apps/dss/data_design/run/sanity-check.json: 5x WARN_SECURITY_PROCESS_TYPE_WITHOUT_MEMORY_LIMIT (In-memory statistics recipes, Custom Python data access components, Project standards, Deployment hooks, Dev lambda server, Stories jobs).</t>
  </si>
  <si>
    <t xml:space="preserve">SEC-005</t>
  </si>
  <si>
    <t xml:space="preserve">JEK-Specific CGroup Limits Left Unconfigured</t>
  </si>
  <si>
    <t xml:space="preserve">Do not set specific cgroup limits for individual Job Execution Kernels (JEKs) unless dealing with a rare, highly specialized edge case, as this can cause unexpected execution throttles; JEK-specific cgroups should generally remain unconfigured.</t>
  </si>
  <si>
    <t xml:space="preserve">general-settings.json &gt; cgroupSettings (JEK-specific cgroup entries)</t>
  </si>
  <si>
    <t xml:space="preserve">not_exists</t>
  </si>
  <si>
    <t xml:space="preserve">No JEK-specific cgroup limits configured</t>
  </si>
  <si>
    <t xml:space="preserve">No literal field path given for JEK-specific cgroup entries; conceptual pointer based on general cgroupSettings structure.</t>
  </si>
  <si>
    <t xml:space="preserve">cgroupSettings configuration shows no per-JEK-specific memory/CPU limits distinct from the general DSS cgroup limits.</t>
  </si>
  <si>
    <t xml:space="preserve">Specific cgroup limits are found configured for individual Job Kernels without documented justification for a specialized edge case.</t>
  </si>
  <si>
    <t xml:space="preserve">If the diagnosis file does not clearly break down cgroup settings by JEK vs. general placement, flag as needs_manual_review and recommend checking internal deep-dive documentation if an exception is suspected.</t>
  </si>
  <si>
    <t xml:space="preserve">Per-JEK cgroup limits can cause unexpected execution throttling, degrading job performance.</t>
  </si>
  <si>
    <t xml:space="preserve">cgroups, Job Execution Kernel (JEK)</t>
  </si>
  <si>
    <t xml:space="preserve">CGroups | MUST HAVE</t>
  </si>
  <si>
    <t xml:space="preserve">Priority classification is inferred; this could arguably be nice_to_have as it's a caution rather than a baseline requirement, but the explicit performance-degradation risk supports must_have.</t>
  </si>
  <si>
    <t xml:space="preserve">apps/dss/data_design/config/general-settings.json cgroupSettings.jobExecutionKernels.targets=[] (no JEK-specific cgroup).</t>
  </si>
  <si>
    <t xml:space="preserve">No per-JEK cgroup limits are set, as recommended. JEK memory is therefore controlled only by JEK Xmx and job concurrency, which makes SCALE-009 (maxRunningJobs=0) more serious.</t>
  </si>
  <si>
    <t xml:space="preserve">SEC-006</t>
  </si>
  <si>
    <t xml:space="preserve">HTTPS Configuration</t>
  </si>
  <si>
    <t xml:space="preserve">HTTPS Access Configured for DSS</t>
  </si>
  <si>
    <t xml:space="preserve">Verify with the customer whether HTTPS access to DSS is configured, either natively via DSS configuration or through a reverse proxy. For custom installations, inspect the [server] section of install.ini; for Cloud Stacks (Fleet Manager) installations, inspect nodes-directory.json in the Instance Diag.</t>
  </si>
  <si>
    <t xml:space="preserve">install.ini &gt; [server] section (HTTPS settings) or /data/dataiku/dss_data/run/nodes-directory.json</t>
  </si>
  <si>
    <t xml:space="preserve">HTTPS enabled (natively or via reverse proxy)</t>
  </si>
  <si>
    <t xml:space="preserve">No single literal key name given for the HTTPS flag itself; pointer is to the file/section where it should be inspected.</t>
  </si>
  <si>
    <t xml:space="preserve">install.ini [server] section shows native HTTPS parameters configured, or nodes-directory.json shows HTTPS URLs/ports for nodes, or customer confirms a reverse proxy terminates HTTPS in front of DSS.</t>
  </si>
  <si>
    <t xml:space="preserve">Only HTTP is configured with no reverse proxy in front, and install.ini/nodes-directory.json show no HTTPS-related configuration.</t>
  </si>
  <si>
    <t xml:space="preserve">If the diagnosis file does not include install.ini or nodes-directory.json content, or if reverse-proxy setup is external to DSS, flag as needs_manual_review and confirm directly with the customer.</t>
  </si>
  <si>
    <t xml:space="preserve">HTTPS protects data in transit and is recommended practice for securing access to DSS.</t>
  </si>
  <si>
    <t xml:space="preserve">HTTPS, reverse proxy, install.ini, nodes-directory.json</t>
  </si>
  <si>
    <t xml:space="preserve">5, 6</t>
  </si>
  <si>
    <t xml:space="preserve">HTTPS | NICE TO HAVE; HTTPS | NICE TO HAVE (Review steps)</t>
  </si>
  <si>
    <t xml:space="preserve">apps/dss/data_design/install.ini [server] has no native SSL settings (port=11000), but hsts-max-age=31536000 is set, and apps/dss/data_design/config/general-settings.json studioExternalUrl='https://design.ds.p4d.data.slb.com'. deployer/govern nodeUrls are also https.</t>
  </si>
  <si>
    <t xml:space="preserve">DSS does not terminate TLS itself. The bundle does reference an HTTPS external URL and sets HSTS, which is positive evidence that a TLS-terminating reverse proxy/LB sits in front of DSS. Confirm that plain HTTP on :11000 is not reachable from user networks (firewall), so HTTPS is truly enforced.</t>
  </si>
  <si>
    <t xml:space="preserve">SEC-007</t>
  </si>
  <si>
    <t xml:space="preserve">Security Model &amp; Groups</t>
  </si>
  <si>
    <t xml:space="preserve">DSS Groups Security Model Appropriately Defined</t>
  </si>
  <si>
    <t xml:space="preserve">Confirm the client has an appropriate set of groups within their DSS security model: that they understand the DSS security model, that appropriate groups have been defined, and that permissions are properly granted based on those groups.</t>
  </si>
  <si>
    <t xml:space="preserve">Documentation or discussion notes indicate the customer has defined distinct DSS groups aligned to roles/functions, with permissions (project access, connections, etc.) granted based on group membership rather than ad hoc per-user grants.</t>
  </si>
  <si>
    <t xml:space="preserve">Evidence of a flat or minimal group structure, permissions granted broadly or per-individual-user without group-based structure, or customer confusion about the security model in review notes.</t>
  </si>
  <si>
    <t xml:space="preserve">A diagnosis file typically cannot show group design intent or customer understanding; flag as needs_manual_review and recommend a discussion with the client to assess this.</t>
  </si>
  <si>
    <t xml:space="preserve">A well-structured group model ensures permissions are manageable, auditable, and scalable as the platform grows.</t>
  </si>
  <si>
    <t xml:space="preserve">DSS groups, security model, permissions</t>
  </si>
  <si>
    <t xml:space="preserve">DSS groups security model | NICE TO HAVE</t>
  </si>
  <si>
    <t xml:space="preserve">low</t>
  </si>
  <si>
    <t xml:space="preserve">Entirely a qualitative, discussion-based check with no technical pointer.</t>
  </si>
  <si>
    <t xml:space="preserve">config/users.json: 25 users (11 DESIGNER, 9 AI_CONSUMER, 5 PLATFORM_ADMIN), 27 groups following a per-EAR &lt;ear&gt;_designer_local / &lt;ear&gt;_viewer_local pattern plus admin/data-scientist groups. Anomalies: Other_dssnp_ear-aa-21183_viewer_local and Other_dssnp_ear-aa-30051_viewer_local have mayCreateProjects and mayWriteSafeCode (same as designer groups); legacy 'data_team' has mayWriteUnsafeCode.</t>
  </si>
  <si>
    <t xml:space="preserve">The group model is structured and role-based (good). Some 'viewer' groups carry designer-level permissions, and the legacy local groups (data_team, readers) should be reviewed. Confirm the intended model with the customer.</t>
  </si>
  <si>
    <t xml:space="preserve">SEC-008</t>
  </si>
  <si>
    <t xml:space="preserve">LDAP Configuration</t>
  </si>
  <si>
    <t xml:space="preserve">LDAP Authorized Groups Configured</t>
  </si>
  <si>
    <t xml:space="preserve">Where DSS is integrated with LDAP, ensure Authorized Groups are configured so that only members of specified groups can connect; if LDAP is enabled but no Authorized Groups are set, all LDAP users matching the User filter query can connect, which should be flagged to the customer as a recommended improvement.</t>
  </si>
  <si>
    <t xml:space="preserve">{DATA_DIR}/config/general-settings.json &gt; ldapSettings.authorizedGroups</t>
  </si>
  <si>
    <t xml:space="preserve">non-empty (populated with one or more groups)</t>
  </si>
  <si>
    <t xml:space="preserve">Check is conditional on ldapSettings.enabled being true.</t>
  </si>
  <si>
    <t xml:space="preserve">general-settings.json shows ldapSettings.enabled: true and authorizedGroups populated with one or more group entries; front-end equivalent shows Authorized groups field populated under Login (LDAP, SSO) &amp; Security &gt; Groups mapping.</t>
  </si>
  <si>
    <t xml:space="preserve">ldapSettings.enabled is true but authorizedGroups is empty or absent, meaning all LDAP users passing the User filter can connect without group-based restriction.</t>
  </si>
  <si>
    <t xml:space="preserve">If ldapSettings is not present or LDAP is not enabled, this check does not apply; if enabled but authorizedGroups status is unclear, flag as needs_manual_review.</t>
  </si>
  <si>
    <t xml:space="preserve">Authorized Groups restrict which LDAP-authenticated users may connect to DSS, reducing unauthorized access risk.</t>
  </si>
  <si>
    <t xml:space="preserve">LDAP, authorizedGroups, authentication</t>
  </si>
  <si>
    <t xml:space="preserve">7, 8</t>
  </si>
  <si>
    <t xml:space="preserve">LDAP: Authorized groups | NICE TO HAVE; LDAP: Authorized groups | NICE TO HAVE (Review steps)</t>
  </si>
  <si>
    <t xml:space="preserve">apps/dss/data_design/config/general-settings.json ldapSettings.enabled=false (authorizedGroups is populated with 3 groups anyway). Login is via SSO: ssoSettings.enabled=true, protocol OPENID, authorizedGroups has 3 Azure AD group IDs.</t>
  </si>
  <si>
    <t xml:space="preserve">LDAP authentication is not enabled, so this check does not apply. The equivalent control exists on SSO: authorizedGroups is set on the OpenID config.</t>
  </si>
  <si>
    <t xml:space="preserve">SEC-009</t>
  </si>
  <si>
    <t xml:space="preserve">Single Sign-On</t>
  </si>
  <si>
    <t xml:space="preserve">SSO Enablement Reviewed</t>
  </si>
  <si>
    <t xml:space="preserve">Verify whether SSO is enabled for the DSS instance; if not, discuss with the customer whether enabling SSO would benefit their deployment.</t>
  </si>
  <si>
    <t xml:space="preserve">Configuration or documentation indicates SSO is enabled and integrated with the customer's identity provider.</t>
  </si>
  <si>
    <t xml:space="preserve">SSO is not configured and there is no record of a discussion with the customer about its potential benefits.</t>
  </si>
  <si>
    <t xml:space="preserve">Diagnosis files may not clearly expose SSO configuration; if unclear, flag as needs_manual_review and recommend confirming SSO status directly with the customer/admin settings.</t>
  </si>
  <si>
    <t xml:space="preserve">SSO can improve authentication security and user experience by centralizing identity management.</t>
  </si>
  <si>
    <t xml:space="preserve">SSO, authentication</t>
  </si>
  <si>
    <t xml:space="preserve">SSO | NICE TO HAVE</t>
  </si>
  <si>
    <t xml:space="preserve">No literal field path or diag pointer is given for SSO status in this document.</t>
  </si>
  <si>
    <t xml:space="preserve">apps/dss/data_design/config/general-settings.json ssoSettings.enabled=true, protocol=OPENID, issuer=https://login.microsoftonline.com/41ff26dc-.../v2.0, usePKCE=true, enableGroups=true, authorizedGroups set.</t>
  </si>
  <si>
    <t xml:space="preserve">SSO via Azure AD (OIDC) is enabled, with PKCE and group-based authorisation.</t>
  </si>
  <si>
    <t xml:space="preserve">SEC-010</t>
  </si>
  <si>
    <t xml:space="preserve">Proxy Configuration</t>
  </si>
  <si>
    <t xml:space="preserve">Proxy Configuration Reviewed and Documented</t>
  </si>
  <si>
    <t xml:space="preserve">Take the opportunity to review and understand any proxy configuration in use, ensuring it is accurately documented in the platform tooling.</t>
  </si>
  <si>
    <t xml:space="preserve">Platform tooling/documentation contains accurate, up-to-date proxy configuration details matching the instance's actual proxy setup.</t>
  </si>
  <si>
    <t xml:space="preserve">Proxy configuration is undocumented, outdated, or inconsistent with the actual instance setup.</t>
  </si>
  <si>
    <t xml:space="preserve">A diagnosis file is unlikely to fully capture proxy configuration or the state of external documentation; flag as needs_manual_review to confirm with the customer and platform tooling records.</t>
  </si>
  <si>
    <t xml:space="preserve">Understanding and documenting proxy configuration helps ensure connectivity and troubleshooting information is accurate and available.</t>
  </si>
  <si>
    <t xml:space="preserve">proxy configuration, platform tooling</t>
  </si>
  <si>
    <t xml:space="preserve">Proxy configuration | NICE TO HAVE</t>
  </si>
  <si>
    <t xml:space="preserve">No technical pointer given; purely a documentation/understanding check.</t>
  </si>
  <si>
    <t xml:space="preserve">apps/dss/data_design/config/general-settings.json proxySettings={port: 0} (no global DSS proxy set); azureADSettings.useGlobalProxy=true but Azure AD sync is disabled.</t>
  </si>
  <si>
    <t xml:space="preserve">No global HTTP proxy is configured in DSS. Confirm whether egress relies on a transparent/network proxy, and that the platform documentation reflects this.</t>
  </si>
  <si>
    <t xml:space="preserve">GENAI-001</t>
  </si>
  <si>
    <t xml:space="preserve">LLM Mesh and Agents</t>
  </si>
  <si>
    <t xml:space="preserve">Internal Code Environments for RAG, Document Extraction, PII Detection</t>
  </si>
  <si>
    <t xml:space="preserve">Ensure the internal code environments for Retrieval-Augmented Generation, document extraction, and PII detection are properly installed and set as the default code-env for each category under Administration &gt; Settings &gt; Other &gt; LLM Mesh. If a non-internal code-env is used instead, DSS surfaces a warning in the LLM Mesh settings page and in Administration &gt; Code-envs &gt; Internal envs.</t>
  </si>
  <si>
    <t xml:space="preserve">general-settings.json &gt; generativeAISettings &gt; defaultRetrievableKnowledgeCodeEnv</t>
  </si>
  <si>
    <t xml:space="preserve">absent (i.e., using internal default code-env, containerMode NONE)</t>
  </si>
  <si>
    <t xml:space="preserve">If defaultRetrievableKnowledgeCodeEnv is present with a custom value and containerMode is INHERIT, a non-internal code-env is in use. Also check presidioBasedPIIDetection (PII detection) and embedDocumentsRecipeSettings (document extraction) keys for equivalent non-internal overrides.</t>
  </si>
  <si>
    <t xml:space="preserve">general-settings.json generativeAISettings shows containerMode NONE with no defaultRetrievableKnowledgeCodeEnv key, and PII/doc extraction sections show no custom code-env overrides; Admin &gt; Code-envs &gt; Internal envs shows RAG/PII/Doc extraction set up as internal.</t>
  </si>
  <si>
    <t xml:space="preserve">defaultRetrievableKnowledgeCodeEnv key present with a non-internal value, containerMode INHERIT, or a warning banner shown in Admin &gt; Settings &gt; Other &gt; LLM Mesh / Code-envs &gt; Internal envs.</t>
  </si>
  <si>
    <t xml:space="preserve">If generativeAISettings section is absent from the diagnosis, flag needs_manual_review to check the UI directly.</t>
  </si>
  <si>
    <t xml:space="preserve">Internal code envs bundle the correct/supported dependencies (e.g., libreoffice for document extraction); using a non-internal env can cause missing dependencies or unsupported behavior.</t>
  </si>
  <si>
    <t xml:space="preserve">LLM Mesh, code environments, RAG, PII detection, document extraction</t>
  </si>
  <si>
    <t xml:space="preserve">generative_ai_acceleration</t>
  </si>
  <si>
    <t xml:space="preserve">1, 2, 3</t>
  </si>
  <si>
    <t xml:space="preserve">LLM Mesh and Agents MUST HAVE:; RAG, Doc extraction, PII detection; Instance Diags / DiagParser3</t>
  </si>
  <si>
    <t xml:space="preserve">apps/dss/data_design/config/general-settings.json generativeAISettings: defaultRetrievableKnowledgeCodeEnv='INTERNAL_retrieval_augmented_generation_v1', presidioBasedPIIDetectionCodeEnv='INTERNAL_pii_detection_v1', embedDocumentsRecipeSettings (no custom env). code_envs_desc_listing.txt contains INTERNAL_retrieval_augmented_generation_v1, INTERNAL_pii_detection_v1 and INTERNAL_document_extraction_v1.</t>
  </si>
  <si>
    <t xml:space="preserve">The keys are present, but they explicitly point to Dataiku's INTERNAL_* envs, not custom ones, which meets the intent. containerMode=INHERIT means these run with the global default (currently local, since defaultExecutionConfig is empty; see ARCH-016). Double-check that no warning banner shows in Admin &gt; Code envs &gt; Internal envs.</t>
  </si>
  <si>
    <t xml:space="preserve">GENAI-002</t>
  </si>
  <si>
    <t xml:space="preserve">Hugging Face Local LLM Enablement (Conditional)</t>
  </si>
  <si>
    <t xml:space="preserve">When the customer uses Hugging Face local LLMs, ensure the INTERNAL_huggingface_local_v1 code env is installed and that technical prerequisites are met: a running Elastic AI Kubernetes cluster with NVIDIA GPUs (compute capability &gt;= 7.0, driver compatible with CUDA 12.8), Almalinux 9 base images, and Python 3.11.</t>
  </si>
  <si>
    <t xml:space="preserve">Administration &gt; Code-envs &gt; INTERNAL_huggingface_local_v1 (installed)</t>
  </si>
  <si>
    <t xml:space="preserve">installed and configured</t>
  </si>
  <si>
    <t xml:space="preserve">No literal diag JSON field was given in the source for this check; infrastructure prerequisites (GPU compute capability, CUDA/driver version, Python 3.11, Almalinux 9) are not verifiable from a diagnosis JSON alone and require manual/infra review.</t>
  </si>
  <si>
    <t xml:space="preserve">Code-env listing shows INTERNAL_huggingface_local_v1 present and in use; Elastic AI cluster configuration references GPU-enabled nodes.</t>
  </si>
  <si>
    <t xml:space="preserve">Env missing, or Hugging Face local LLM feature is referenced in use without a corresponding GPU-enabled Elastic AI cluster.</t>
  </si>
  <si>
    <t xml:space="preserve">If the diagnosis doesn't reference Hugging Face local LLM usage, treat as not applicable; if usage is confirmed elsewhere but infra details aren't in the diagnosis, flag needs_manual_review.</t>
  </si>
  <si>
    <t xml:space="preserve">Without the correct GPU cluster, driver/CUDA compatibility, base image, and Python version, local Hugging Face LLMs will not function.</t>
  </si>
  <si>
    <t xml:space="preserve">Hugging Face, Elastic AI, Kubernetes, GPU, code environments</t>
  </si>
  <si>
    <t xml:space="preserve">Hugging face local LLMs (only if applicable)</t>
  </si>
  <si>
    <t xml:space="preserve">Conditional feature ('only if applicable'); priority applies only when the customer has opted to use this capability.</t>
  </si>
  <si>
    <t xml:space="preserve">code_envs_desc_listing.txt: no INTERNAL_huggingface_local_v1. apps/dss/data_design/config/general-settings.json generativeAISettings.huggingFaceLocalSettings holds only defaults (maxConcurrentKernels=2).</t>
  </si>
  <si>
    <t xml:space="preserve">No evidence that local Hugging Face LLMs are used. If they are planned, note that the GPU container configs reference a missing 13.4.2 GPU image (see ARCH-010) and that base images are built with py39 only (Python 3.11 is required).</t>
  </si>
  <si>
    <t xml:space="preserve">Trace Explorer</t>
  </si>
  <si>
    <t xml:space="preserve">Configure Trace Explorer via Administration &gt; Settings &gt; Other &gt; LLM Mesh &gt; Configuration &gt; Trace by setting a default Project and Trace Explorer webapp instance, so the 'view traces' shortcut is functional from Prompt Studio, Agents, and Retrieval-Augmented LLMs.</t>
  </si>
  <si>
    <t xml:space="preserve">general-settings.json &gt; llmTraceSettings.traceExplorerDefaultWebApp</t>
  </si>
  <si>
    <t xml:space="preserve">projectKey and webAppId both set to non-empty values</t>
  </si>
  <si>
    <t xml:space="preserve">llmTraceSettings.traceExplorerDefaultWebApp present in general-settings.json with non-empty projectKey and webAppId fields.</t>
  </si>
  <si>
    <t xml:space="preserve">llmTraceSettings missing entirely, or traceExplorerDefaultWebApp present but empty/null.</t>
  </si>
  <si>
    <t xml:space="preserve">If general-settings.json content isn't captured in the diagnosis, flag needs_manual_review to verify via the UI.</t>
  </si>
  <si>
    <t xml:space="preserve">Without this default configuration, the trace-viewing shortcut from Prompt Studio/Agents/RAG LLMs will not function.</t>
  </si>
  <si>
    <t xml:space="preserve">Trace Explorer, LLM Mesh, Agents</t>
  </si>
  <si>
    <t xml:space="preserve">Trace Explorer MUST HAVE:; Instance Diags / DiagParser3</t>
  </si>
  <si>
    <t xml:space="preserve">apps/dss/data_design/config/general-settings.json generativeAISettings.llmTraceSettings.traceExplorerDefaultWebApp={} (empty). The traces-explorer plugin is installed (config/plugins/traces-explorer).</t>
  </si>
  <si>
    <t xml:space="preserve">GENAI-004</t>
  </si>
  <si>
    <t xml:space="preserve">AI Services</t>
  </si>
  <si>
    <t xml:space="preserve">AI Services Terms of Use Acceptance &amp; Enablement</t>
  </si>
  <si>
    <t xml:space="preserve">Verify that the customer has accepted the Dataiku AI Services Terms of Use and that AI Services are enabled by the admin in Administration &gt; AI Services. Confirm outbound internet connectivity to https://ai-gateway.api-services.dataiku.io, required in both 'Operated by Dataiku' and 'Bring your own LLM' modes.</t>
  </si>
  <si>
    <t xml:space="preserve">general-settings.json &gt; dataikuAIServicesTermsOfUseAccepted / enabled</t>
  </si>
  <si>
    <t xml:space="preserve">Also check byoTermsOfUseAccepted for Bring-your-own-LLM mode. Internet whitelisting of ai-gateway.api-services.dataiku.io is not verifiable from diagnosis JSON alone.</t>
  </si>
  <si>
    <t xml:space="preserve">general-settings.json shows dataikuAIServicesTermsOfUseAccepted=true and enabled=true.</t>
  </si>
  <si>
    <t xml:space="preserve">enabled=false or Terms of Use not accepted while AI Services usage is expected/observed.</t>
  </si>
  <si>
    <t xml:space="preserve">If AI Services keys are absent from the diagnosis, treat as not enabled and flag needs_manual_review to confirm with the customer whether AI Services usage is intended.</t>
  </si>
  <si>
    <t xml:space="preserve">AI Services, Terms of Use, LLM Mesh</t>
  </si>
  <si>
    <t xml:space="preserve">AI Services NICE TO HAVE:; Instance Diags / DiagParser3</t>
  </si>
  <si>
    <t xml:space="preserve">apps/dss/data_design/config/general-settings.json aiDrivenAnalyticsSettings: dataikuAIServicesTermsOfUseAccepted=false, enabled=false. askDataikuSettings.enabled=true; codeAssistantSettings.codeAssistantEnabled=false.</t>
  </si>
  <si>
    <t xml:space="preserve">Dataiku AI Services are not accepted or enabled. That is acceptable if not wanted (this is nice-to-have). Confirm intent with the customer, and if enabling, confirm outbound access to ai-gateway.api-services.dataiku.io.</t>
  </si>
  <si>
    <t xml:space="preserve">GENAI-005</t>
  </si>
  <si>
    <t xml:space="preserve">Bring Your Own LLM Mode</t>
  </si>
  <si>
    <t xml:space="preserve">Bring Your Own LLM Mode - Reference Project &amp; Main Model</t>
  </si>
  <si>
    <t xml:space="preserve">When Bring Your Own LLM mode is active, a Reference project key must be set (used for LLM Mesh requests running outside a DSS project, e.g. AI Search) and a main LLM model must be configured; if unset, requests will fail.</t>
  </si>
  <si>
    <t xml:space="preserve">general-settings.json &gt; localAIServerSettings.referenceProjectKey / mainLLMId</t>
  </si>
  <si>
    <t xml:space="preserve">non-empty values set for both fields</t>
  </si>
  <si>
    <t xml:space="preserve">localAIServerSettings.useLocalServer=true with referenceProjectKey and mainLLMId populated (e.g., 'openai:openai-adrissi:gpt-5.5').</t>
  </si>
  <si>
    <t xml:space="preserve">useLocalServer=true but referenceProjectKey or mainLLMId missing or empty.</t>
  </si>
  <si>
    <t xml:space="preserve">If localAIServerSettings is absent from the diagnosis, flag needs_manual_review to confirm whether Bring Your Own LLM mode is in use.</t>
  </si>
  <si>
    <t xml:space="preserve">Bring Your Own LLM, AI Services, LLM Mesh</t>
  </si>
  <si>
    <t xml:space="preserve">Bring your own LLM Mode; Instance Diags / DiagParser3</t>
  </si>
  <si>
    <t xml:space="preserve">apps/dss/data_design/config/general-settings.json localAIServerSettings.useLocalServer=false.</t>
  </si>
  <si>
    <t xml:space="preserve">Bring Your Own LLM mode is not active.</t>
  </si>
  <si>
    <t xml:space="preserve">GENAI-006</t>
  </si>
  <si>
    <t xml:space="preserve">Bring Your Own LLM - Recommended Model Versions</t>
  </si>
  <si>
    <t xml:space="preserve">If the customer has activated Bring Your Own LLM Mode for AI Assistants, verify they are using recommended model versions (minimum OpenAI ChatGPT 5.2) and avoid unsupported ones (e.g., ChatGPT 5.1, which will not provide good results).</t>
  </si>
  <si>
    <t xml:space="preserve">general-settings.json &gt; localAIServerSettings.mainLLMId (and responseFormatAwareLLMId/fastLightLLMId)</t>
  </si>
  <si>
    <t xml:space="preserve">not_equals</t>
  </si>
  <si>
    <t xml:space="preserve">ChatGPT 5.1 or earlier / unsupported model versions</t>
  </si>
  <si>
    <t xml:space="preserve">Exact version comparison against the recommended minimum (ChatGPT 5.2) may require manual judgment; refer to https://doc.dataiku.com/dss/latest/ai-assistants/setup.html#bring-your-own-llm-mode.</t>
  </si>
  <si>
    <t xml:space="preserve">mainLLMId/related LLM IDs reference gpt-5.2 or later.</t>
  </si>
  <si>
    <t xml:space="preserve">mainLLMId/related LLM IDs reference gpt-5.1 or an older/unsupported model.</t>
  </si>
  <si>
    <t xml:space="preserve">If the model identifier is ambiguous, non-OpenAI, or version cannot be determined, flag needs_manual_review and reference the setup documentation.</t>
  </si>
  <si>
    <t xml:space="preserve">Using unsupported model versions is stated to produce poor results.</t>
  </si>
  <si>
    <t xml:space="preserve">Bring Your Own LLM, Model selection, AI Assistants</t>
  </si>
  <si>
    <t xml:space="preserve">6, 7</t>
  </si>
  <si>
    <t xml:space="preserve">Bring your own LLM Mode; Bring your own LLM Mode</t>
  </si>
  <si>
    <t xml:space="preserve">BYO LLM mode is not active, so there is no model-version check.</t>
  </si>
  <si>
    <t xml:space="preserve">GENAI-007</t>
  </si>
  <si>
    <t xml:space="preserve">Cobuild</t>
  </si>
  <si>
    <t xml:space="preserve">Cobuild Default LLM Configuration</t>
  </si>
  <si>
    <t xml:space="preserve">Administrators must configure default LLM settings for Cobuild (agent-building tools) upon activation of AI Assistants, including defaultEmbeddingLLMId, defaultLLMId, and defaultImageGenerationLLMId under agentBuildingSettings; if unset, Cobuild's building-agent tools will fail and instruct users to contact an administrator.</t>
  </si>
  <si>
    <t xml:space="preserve">general-settings.json &gt; aiDrivenAnalyticsSettings.agentBuildingSettings.{defaultEmbeddingLLMId, defaultLLMId, defaultImageGenerationLLMId}</t>
  </si>
  <si>
    <t xml:space="preserve">all three fields populated with valid LLM IDs</t>
  </si>
  <si>
    <t xml:space="preserve">agentBuildingSettings block shows non-empty defaultEmbeddingLLMId, defaultLLMId, and defaultImageGenerationLLMId values.</t>
  </si>
  <si>
    <t xml:space="preserve">One or more of these fields is missing or empty while Cobuild/AI Assistants is enabled.</t>
  </si>
  <si>
    <t xml:space="preserve">If aiDrivenAnalyticsSettings is absent from the diagnosis, flag needs_manual_review to confirm whether Cobuild/AI Assistants is enabled for this customer.</t>
  </si>
  <si>
    <t xml:space="preserve">Cobuild, AI Assistants, Agent building</t>
  </si>
  <si>
    <t xml:space="preserve">7, 8, 9</t>
  </si>
  <si>
    <t xml:space="preserve">Cobuild; Cobuild; Instance Diags / DiagParser3</t>
  </si>
  <si>
    <t xml:space="preserve">apps/dss/data_design/config/general-settings.json aiDrivenAnalyticsSettings.enabled=false; no agentBuildingSettings block.</t>
  </si>
  <si>
    <t xml:space="preserve">AI Assistants/Cobuild are not activated on this 14.4.3 instance. Revisit after the 15.x upgrade if Cobuild is enabled.</t>
  </si>
  <si>
    <t xml:space="preserve">GENAI-008</t>
  </si>
  <si>
    <t xml:space="preserve">AI Assistants Diagnostics</t>
  </si>
  <si>
    <t xml:space="preserve">Include AI Assistant Debug Data in Instance Diagnostics</t>
  </si>
  <si>
    <t xml:space="preserve">To access AI Assistant Logs (ui.json, runtime.json, traces per project) in an Instance Diagnostic (V14.7+), an administrator must explicitly select the option to include these logs when generating a diagnostic via Administration &gt; Maintenance &gt; Instance Diagnostic.</t>
  </si>
  <si>
    <t xml:space="preserve">The diagnostic bundle includes an 'AI Assistants debug data' section organized by project with ui.json, runtime.json, and traces files.</t>
  </si>
  <si>
    <t xml:space="preserve">Diagnostic bundle lacks these files despite AI Assistants being actively used on the instance.</t>
  </si>
  <si>
    <t xml:space="preserve">If the diagnostic was generated on a version prior to 14.7, or the inclusion option's state can't be determined, flag needs_manual_review and note reviewers should confirm the option was selected during diagnostic generation.</t>
  </si>
  <si>
    <t xml:space="preserve">Without selecting this option, AI Assistant logs are not captured, limiting the reviewer's ability to diagnose LLM Mesh/agent-building issues.</t>
  </si>
  <si>
    <t xml:space="preserve">Instance Diagnostic, AI Assistants, Logging</t>
  </si>
  <si>
    <t xml:space="preserve">9, 10</t>
  </si>
  <si>
    <t xml:space="preserve">Instance Diags / DiagParser3; Instance Diags / DiagParser3</t>
  </si>
  <si>
    <t xml:space="preserve">This is more a diagnostic-generation process note than a platform configuration state, so evaluability from a static diagnosis file is limited.</t>
  </si>
  <si>
    <t xml:space="preserve">apps/dss/data_design/dss-version.json product_version=14.4.3 (&lt;14.7). AI Assistants disabled (aiDrivenAnalyticsSettings.enabled=false).</t>
  </si>
  <si>
    <t xml:space="preserve">The option to include AI Assistant debug data does not exist before 14.7, and AI Assistants are not in use. After upgrading, tick the option when generating diagnostics.</t>
  </si>
  <si>
    <t xml:space="preserve">GENAI-009</t>
  </si>
  <si>
    <t xml:space="preserve">Agent Hub</t>
  </si>
  <si>
    <t xml:space="preserve">Agent Hub Deployment Required Permissions</t>
  </si>
  <si>
    <t xml:space="preserve">Before a user can deploy an Agent Hub instance, they must have permissions for writing project content in the hosting project, writing isolated code execution, WebApp impersonation, and (if Quick agents are enabled) create projects; alternatively the user could be a DSS administrator, though a dedicated service account is preferred.</t>
  </si>
  <si>
    <t xml:space="preserve">Administration &gt; Security &gt; Groups shows the Agent Hub deployer's group granted 'Write project content', 'Write isolated code execution', and 'WebApp impersonation' permissions (plus 'Create projects' if Quick agents are enabled), or the deployer is a DSS admin/service account.</t>
  </si>
  <si>
    <t xml:space="preserve">The deployer's group lacks one or more of these permissions and is not an admin/service account, or logs show 'Not authorized' errors when creating the Agent Hub WebApp.</t>
  </si>
  <si>
    <t xml:space="preserve">If the diagnosis file lacks per-user/group permission detail, flag needs_manual_review and recommend checking Administration &gt; Security &gt; Groups directly.</t>
  </si>
  <si>
    <t xml:space="preserve">Missing permissions cause deployment failures such as 'Not authorized' errors when creating the Agent Hub WebApp.</t>
  </si>
  <si>
    <t xml:space="preserve">Agent Hub, Permissions, Groups, WebApp</t>
  </si>
  <si>
    <t xml:space="preserve">10, 11, 12</t>
  </si>
  <si>
    <t xml:space="preserve">Agent Hub NICE TO HAVE:; Writing isolated code execution; WebApp impersonation</t>
  </si>
  <si>
    <t xml:space="preserve">Although the parent topic is tagged NICE TO HAVE, the described permission requirements are phrased as mandatory ('must have permissions') for successful deployment; classification follows the explicit heading tag.</t>
  </si>
  <si>
    <t xml:space="preserve">config_listing.txt: no Agent Hub plugin/webapp (plugins present include ai-agent-plugin, agent-connect, traces-explorer, but not agent-hub).</t>
  </si>
  <si>
    <t xml:space="preserve">Agent Hub is not deployed on this instance.</t>
  </si>
  <si>
    <t xml:space="preserve">GENAI-010</t>
  </si>
  <si>
    <t xml:space="preserve">Use Service Account for Agent Hub Management</t>
  </si>
  <si>
    <t xml:space="preserve">Dataiku recommends using a dedicated service account rather than an instance administrator account to manage and configure an Agent Hub instance.</t>
  </si>
  <si>
    <t xml:space="preserve">Agent Hub is managed/configured by a dedicated service account (non-admin) holding the specific required permissions rather than by a full instance administrator.</t>
  </si>
  <si>
    <t xml:space="preserve">Agent Hub is managed exclusively using a full instance administrator account.</t>
  </si>
  <si>
    <t xml:space="preserve">If the diagnosis doesn't identify the account type managing Agent Hub, flag needs_manual_review.</t>
  </si>
  <si>
    <t xml:space="preserve">Reduces privilege exposure by avoiding routine use of full instance administrator accounts for Agent Hub management.</t>
  </si>
  <si>
    <t xml:space="preserve">Agent Hub, Service account, Least privilege</t>
  </si>
  <si>
    <t xml:space="preserve">10</t>
  </si>
  <si>
    <t xml:space="preserve">Required permissions before deployment</t>
  </si>
  <si>
    <t xml:space="preserve">No Agent Hub plugin/webapp found in config_listing.txt.</t>
  </si>
  <si>
    <t xml:space="preserve">Agent Hub is not deployed.</t>
  </si>
  <si>
    <t xml:space="preserve">GENAI-011</t>
  </si>
  <si>
    <t xml:space="preserve">Agent Hub WebApp Impersonation - Allowed Groups Scope</t>
  </si>
  <si>
    <t xml:space="preserve">For the group running the Agent Hub WebApp, configure the 'Allowed groups' field under Impersonation in WebApps (Administration &gt; Security &gt; Group) to include only the specific groups of users who should access Agent Hub; avoid using '.*' to allow impersonation of all groups, reserving that only for testing in a sandbox environment.</t>
  </si>
  <si>
    <t xml:space="preserve">Administration &gt; Security &gt; Group &gt; Impersonation in WebApps &gt; Allowed groups</t>
  </si>
  <si>
    <t xml:space="preserve">.*</t>
  </si>
  <si>
    <t xml:space="preserve">Conceptual UI-based pointer; no literal diagnosis JSON field was given in the source for this setting.</t>
  </si>
  <si>
    <t xml:space="preserve">Allowed groups field lists specific named groups relevant to Agent Hub users rather than a wildcard.</t>
  </si>
  <si>
    <t xml:space="preserve">Allowed groups field is set to '.*' in what appears to be a production environment.</t>
  </si>
  <si>
    <t xml:space="preserve">If group impersonation settings are not captured in the diagnosis, flag needs_manual_review and recommend checking Administration &gt; Security &gt; Group directly.</t>
  </si>
  <si>
    <t xml:space="preserve">Using '.*' allows impersonation of all groups, an overly broad security exposure outside of sandbox/testing contexts.</t>
  </si>
  <si>
    <t xml:space="preserve">Agent Hub, Impersonation, WebApps, Security groups</t>
  </si>
  <si>
    <t xml:space="preserve">12</t>
  </si>
  <si>
    <t xml:space="preserve">WebApp impersonation</t>
  </si>
  <si>
    <t xml:space="preserve">Agent Hub is not deployed. (Group-level WebApp impersonation 'Allowed groups' could not be inspected; groups.json is not in the bundle.)</t>
  </si>
  <si>
    <t xml:space="preserve">Runtime Database</t>
  </si>
  <si>
    <t xml:space="preserve">The default H2 runtime database is not production-ready and should be replaced with an external PostgreSQL database (or DCS-managed internal PostgreSQL) for scalability and resilience. When PostgreSQL is used, connection pooling and backup practices must also be verified.</t>
  </si>
  <si>
    <t xml:space="preserve">general-settings.json &gt; internalDatabase.type</t>
  </si>
  <si>
    <t xml:space="preserve">PostgreSQL</t>
  </si>
  <si>
    <t xml:space="preserve">Also verify maxPooledExternalConnections (general-settings.json) is at least 2x the postgresql.conf max_connections value (Cloud Stacks default max_connections=500), and that a backup process synced with DSS backups exists.</t>
  </si>
  <si>
    <t xml:space="preserve">general-settings.json shows internalDatabase.type = PostgreSQL (external or DCS-managed); maxPooledExternalConnections &gt;= 2x postgres max_connections; documented backup process aligned with DSS backups.</t>
  </si>
  <si>
    <t xml:space="preserve">internalDatabase field absent or shows internal H2 in use without an external Postgres configured; maxPooledExternalConnections too low relative to max_connections; no DB backup process.</t>
  </si>
  <si>
    <t xml:space="preserve">If general-settings.json is unavailable or DB type cannot be determined, flag needs_manual_review and request the customer's postgresql.conf max_connections value and backup policy.</t>
  </si>
  <si>
    <t xml:space="preserve">H2 does not scale well and complicates backup/resilience; PostgreSQL is required for production readiness.</t>
  </si>
  <si>
    <t xml:space="preserve">runtime database, PostgreSQL, H2, backup</t>
  </si>
  <si>
    <t xml:space="preserve">scalable_performance_ops</t>
  </si>
  <si>
    <t xml:space="preserve">Postgres runtime database | MUST HAVE; Postgres runtime database | MUST HAVE</t>
  </si>
  <si>
    <t xml:space="preserve">apps/dss/data_design/config/general-settings.json internalDatabase has only pool settings (maxPooledExternalConnections=50) and no external connection/type. datadir_listing.txt: H2 files actively written in apps/dss/data_design/databases/, e.g. jobs.mv.db (106.7MB, modified Jul 22 06:35), dss_usage.mv.db (45.8MB), flow_state.mv.db, persistent_notifications.mv.db.</t>
  </si>
  <si>
    <t xml:space="preserve">SCALE-002</t>
  </si>
  <si>
    <t xml:space="preserve">Metastore Configuration</t>
  </si>
  <si>
    <t xml:space="preserve">Appropriate Metastore Configured</t>
  </si>
  <si>
    <t xml:space="preserve">An appropriate metastore should be configured based on environment: Hive for standard Hadoop clusters, Glue when properly integrated on AWS, or the DSS internal metastore otherwise. Confirm the configured flavor matches the environment and that managed datasets sync correctly.</t>
  </si>
  <si>
    <t xml:space="preserve">general-settings.json &gt; metastoreCatalogsSettings.flavor</t>
  </si>
  <si>
    <t xml:space="preserve">Hive (Hadoop cluster) | Glue (AWS with proper integration) | DSS internal (otherwise)</t>
  </si>
  <si>
    <t xml:space="preserve">Correct value is context-dependent on infrastructure; also verify via Administration &gt; Settings &gt; Metastore catalogs UI.</t>
  </si>
  <si>
    <t xml:space="preserve">flavor value matches environment type (Hive for Hadoop, Glue for properly-integrated AWS, else DSS internal); a test dataset sync confirms managed datasets sync to the metastore.</t>
  </si>
  <si>
    <t xml:space="preserve">flavor mismatched with environment (e.g., Glue configured without proper AWS integration, or DSS internal used when Hive/Glue would be appropriate); sync test fails.</t>
  </si>
  <si>
    <t xml:space="preserve">If environment type or metastoreCatalogsSettings is not present in the diagnosis, flag needs_manual_review and confirm with the customer during interview.</t>
  </si>
  <si>
    <t xml:space="preserve">Correct metastore selection ensures managed dataset metadata is properly synced and available for query engines.</t>
  </si>
  <si>
    <t xml:space="preserve">metastore, Hive, Glue, managed datasets</t>
  </si>
  <si>
    <t xml:space="preserve">Metastore is configured | NICE TO HAVE; Metastore is configured | NICE TO HAVE</t>
  </si>
  <si>
    <t xml:space="preserve">Expected flavor value is not a fixed constant but depends on customer's infrastructure, so the check requires contextual knowledge of the environment.</t>
  </si>
  <si>
    <t xml:space="preserve">apps/dss/data_design/config/general-settings.json metastoreCatalogsSettings.synchronizeTo.flavor=HIVESERVER2. hadoopSettings has no Hadoop/Kerberos; clusters/P4D.json hiveSettings hiveServer2Host=127.0.0.1. Cloud connections use metastoreSynchronizationMode=NO_SYNC. backend.log*: 'Spark fast-path status: Hadoop support not enabled on connection'.</t>
  </si>
  <si>
    <t xml:space="preserve">The instance is a GCP/Kubernetes deployment with no Hadoop cluster, yet the metastore is set to HiveServer2 (pointing at localhost). The expected setting is the DSS internal metastore. Confirm no Hive metastore actually exists, then switch the flavor to DSS internal and test a managed-dataset sync.</t>
  </si>
  <si>
    <t xml:space="preserve">SCALE-003</t>
  </si>
  <si>
    <t xml:space="preserve">Graphics Export</t>
  </si>
  <si>
    <t xml:space="preserve">Graphics Export (PDF/Image) Configuration</t>
  </si>
  <si>
    <t xml:space="preserve">Check whether PDF/image export from the Flow is configured; if not configured, discuss with the client whether this feature should be enabled.</t>
  </si>
  <si>
    <t xml:space="preserve">general-settings.json &gt; graphicsExportsEnabled</t>
  </si>
  <si>
    <t xml:space="preserve">Desired state is contextual on client needs; can also confirm via the Flow Actions &gt; Export to PDF/Image UI option.</t>
  </si>
  <si>
    <t xml:space="preserve">graphicsExportsEnabled=true in general-settings.json, or the Export to PDF/Image option is visible in the Flow Actions menu.</t>
  </si>
  <si>
    <t xml:space="preserve">graphicsExportsEnabled=false with no documented discussion or decision with the client about whether the feature is desired.</t>
  </si>
  <si>
    <t xml:space="preserve">If the field is absent from the diagnosis, flag needs_manual_review and verify via the UI or ask the customer.</t>
  </si>
  <si>
    <t xml:space="preserve">Feature must be explicitly configured; disabling it may be acceptable if the client doesn't need it, hence nice to have.</t>
  </si>
  <si>
    <t xml:space="preserve">graphics export, Flow</t>
  </si>
  <si>
    <t xml:space="preserve">Graphics export configured | NICE TO HAVE</t>
  </si>
  <si>
    <t xml:space="preserve">apps/dss/data_design/config/general-settings.json graphicsExportsEnabled=false.</t>
  </si>
  <si>
    <t xml:space="preserve">Flow/dashboard PDF and image export is not configured. Ask the client whether they want it. It needs the graphics-export setup (Chrome/deps) on the host.</t>
  </si>
  <si>
    <t xml:space="preserve">Maintenance &amp; Cleanup</t>
  </si>
  <si>
    <t xml:space="preserve">An admin project should be set up to automatically clean up accumulated logs and idle Jupyter kernels on a schedule, per the Setup Maintenance Jobs wiki.</t>
  </si>
  <si>
    <t xml:space="preserve">Presence of a dedicated admin/maintenance project with scenarios scheduled to clean logs and idle kernels; scenario run history shows regular execution.</t>
  </si>
  <si>
    <t xml:space="preserve">No maintenance project exists, or disk usage/log data shows unbounded growth of logs or idle Jupyter kernels.</t>
  </si>
  <si>
    <t xml:space="preserve">If the diagnosis doesn't include a project list or scenario details, flag needs_manual_review and ask the customer to confirm existence of a scheduled cleanup project.</t>
  </si>
  <si>
    <t xml:space="preserve">Without cleanup, logs and idle kernels accumulate over time causing resource exhaustion.</t>
  </si>
  <si>
    <t xml:space="preserve">admin project, garbage collection, scenarios, disk usage</t>
  </si>
  <si>
    <t xml:space="preserve">Admin project - garbage collection | MUST HAVE; Admin project - garbage collection | MUST HAVE</t>
  </si>
  <si>
    <t xml:space="preserve">config_listing.txt: ADMINISTRATIONPROJECT exists with scenarios CERTIFICATE_EXPIRATION, Schedule_build_of__expiring_cert_ and PROJECT_REPORT only; no log-cleanup or idle-kernel cleanup scenario in any project. backend.log*: 17,661x 'Failed to build trigger runner (ADMINISTRATIONPROJECT.Schedule_build_of__expiring_cert_...): configured to run as user 'ds10' which does not exist'.</t>
  </si>
  <si>
    <t xml:space="preserve">Backup &amp; Recovery</t>
  </si>
  <si>
    <t xml:space="preserve">Routine backups of DSS data must be configured for every DSS node to ensure data availability; for DCS installs, verify via Fleet Manager Instances &gt; Settings &gt; Snapshots, and for custom installs request backup policy details directly from the client.</t>
  </si>
  <si>
    <t xml:space="preserve">For DCS: Fleet Manager &gt; Instances &gt; Settings &gt; Snapshots shows a scheduled snapshot policy. For custom installs: a documented backup policy/cron job covering the DSS data directory is provided by the customer.</t>
  </si>
  <si>
    <t xml:space="preserve">No snapshot schedule configured in Fleet Manager, or the customer has no documented backup process for a custom install.</t>
  </si>
  <si>
    <t xml:space="preserve">If backup configuration isn't visible in the diagnosis (common for custom installs), flag needs_manual_review and request the client's backup policy documentation.</t>
  </si>
  <si>
    <t xml:space="preserve">Backups ensure business continuity and data availability in case of failure.</t>
  </si>
  <si>
    <t xml:space="preserve">backup, Fleet Manager, snapshots</t>
  </si>
  <si>
    <t xml:space="preserve">Environment Backup | MUST HAVE; Environment Backup | MUST HAVE</t>
  </si>
  <si>
    <t xml:space="preserve">Custom install on a GCP VM (/apps/dss/data_design on /dev/mapper/vg01-vol01, 800G, 74% used). No backup or snapshot configuration is visible in the bundle.</t>
  </si>
  <si>
    <t xml:space="preserve">SCALE-006</t>
  </si>
  <si>
    <t xml:space="preserve">Instance Sanity Check</t>
  </si>
  <si>
    <t xml:space="preserve">Usage of Instance Sanity Check</t>
  </si>
  <si>
    <t xml:space="preserve">Verify that the Instance Sanity Check feature is used to detect instance configuration problems, accessible via Administration &gt; Maintenance &gt; Instance Sanity Check.</t>
  </si>
  <si>
    <t xml:space="preserve">Evidence that the customer has run the Instance Sanity Check periodically and addressed reported issues (e.g., DiagParser3 sanity check output showing no unresolved critical issues).</t>
  </si>
  <si>
    <t xml:space="preserve">No record of Instance Sanity Check usage, or reported issues left unresolved for extended periods.</t>
  </si>
  <si>
    <t xml:space="preserve">If the diagnosis doesn't include sanity check results, flag needs_manual_review and check DiagParser3 or the Administration UI directly.</t>
  </si>
  <si>
    <t xml:space="preserve">Regular use helps proactively detect instance configuration issues before they cause problems.</t>
  </si>
  <si>
    <t xml:space="preserve">Usage of Instance Sanity Check | NICE TO HAVE; Usage of Instance Sanity Check | NICE TO HAVE</t>
  </si>
  <si>
    <t xml:space="preserve">apps/dss/data_design/run/sanity-check.json: lastRunTimestamp=2026-07-22 08:29:52 UTC (run automatically by the diagnosis), maxSeverity=WARNING, 9 warnings still open: 6x process types without memory limit, rotational disk, Spark details-read gap on ear27331_blob_stg_1, missing base image dataiku-exec-gpu:13.4.2. apps/dss/data_design/config/general-settings.json sanityCheckExclusionList=[].</t>
  </si>
  <si>
    <t xml:space="preserve">The sanity check runs, but its warnings are unresolved, including one left over from the 13.4.2 era, which suggests nobody reviews it regularly. Add a periodic sanity-check review (or scenario) and clear the open items (SEC-004, ARCH-004, SCALE-012, ARCH-010).</t>
  </si>
  <si>
    <t xml:space="preserve">Log Monitoring</t>
  </si>
  <si>
    <t xml:space="preserve">Review recent backend.log files (including rotated/zipped logs) for ERROR or FATAL level entries indicating systemic issues such as repeating stack traces, connection failures, or plugin crashes; investigate patterns that recur frequently even without explicit user complaints.</t>
  </si>
  <si>
    <t xml:space="preserve">backend.log and rotated logs show few or no ERROR/FATAL entries, or only isolated non-recurring errors; AI Log Analysis in DiagParser3 shows no systemic issue flagged.</t>
  </si>
  <si>
    <t xml:space="preserve">Frequent recurring ERROR/FATAL entries (e.g., the same stack trace dozens of times per day), repeated connection failures, or plugin crashes.</t>
  </si>
  <si>
    <t xml:space="preserve">If logs aren't included or available in the diagnosis bundle, flag needs_manual_review and request the backend.log files directly.</t>
  </si>
  <si>
    <t xml:space="preserve">A high volume of repeated errors often points to a systemic issue that needs to be addressed before it impacts instance stability.</t>
  </si>
  <si>
    <t xml:space="preserve">backend.log, AI Log Analysis, DiagParser3</t>
  </si>
  <si>
    <t xml:space="preserve">Backend.log Errors | MUST HAVE; Backend.log Errors | MUST HAVE</t>
  </si>
  <si>
    <t xml:space="preserve">backend.log.2/.1/.0 (2026-07-16 to 2026-07-22): about 167k ERROR lines. Top: 123,032 dku.unifiedmonitoring.systemMonitoringService 'Error parsing graphite line: &lt;deployment&gt;-on-PND_Local.memoryCapacityMB/cpuCapacityMillis' (4,394 per metric); 35,322 dip.scenarios.trigger.service 'Failed to build trigger runner ... configured to run as user 'ds10'/'vgupta11' which does not exist'; 6,840 dip.controllers 'Unknown execution context: code-studio-as-webapp-...'; 878 activityMonitoringService 'Couldn't write activity metrics ... sample_API-on-PND_Local'; 30 'Could not stop Kubernetes deployment'. No OutOfMemoryError in current backend logs.</t>
  </si>
  <si>
    <t xml:space="preserve">SCALE-008</t>
  </si>
  <si>
    <t xml:space="preserve">Memory Sizing</t>
  </si>
  <si>
    <t xml:space="preserve">Backend Xmx Sizing</t>
  </si>
  <si>
    <t xml:space="preserve">backend.xmx must be appropriately sized for the deployment based on system memory (Cloud Stacks heuristic: 4g for &gt;12GB RAM, 8g for &gt;30GB RAM, 16g for &gt;95GB RAM, more for larger deployments), and should be at least 3x the size of the configuration folder. jek.xmx and fek.xmx should also be checked to ensure they haven't been oversized, and backend.log should be checked for OutOfMemoryError entries.</t>
  </si>
  <si>
    <t xml:space="preserve">install.ini &gt; backend.xmx</t>
  </si>
  <si>
    <t xml:space="preserve">per Cloud Stacks heuristic tier (4g/8g/16g based on system RAM) and &gt;=3x config folder size</t>
  </si>
  <si>
    <t xml:space="preserve">Also verify jek.xmx/fek.xmx are not oversized, and that xmx avoids the 32GB&lt;=xmx&lt;48GB dead zone (jump to 48GB instead) due to Java Ordinary Object Pointer behavior.</t>
  </si>
  <si>
    <t xml:space="preserve">install.ini backend.xmx matches or exceeds the recommended tier for system memory, is &gt;=3x config folder size, and avoids the 32-48GB dead zone; no OutOfMemoryError entries in backend.log.</t>
  </si>
  <si>
    <t xml:space="preserve">backend.xmx set below the recommended heuristic, falls in the 32GB-48GB dead zone, or backend.log shows recurring 'OutOfMemoryError: Java heap space' / 'OutOfMemoryError: GC Overhead limit exceeded' entries.</t>
  </si>
  <si>
    <t xml:space="preserve">If install.ini or system memory info is not present in the diagnosis, flag needs_manual_review and request system specs and install.ini contents.</t>
  </si>
  <si>
    <t xml:space="preserve">Insufficient or misconfigured heap sizing leads to OutOfMemory errors and instability; oversizing into the 32-48GB range paradoxically reduces available memory due to JVM pointer compression behavior.</t>
  </si>
  <si>
    <t xml:space="preserve">backend.xmx, jek.xmx, fek.xmx, JVM memory, OutOfMemoryError</t>
  </si>
  <si>
    <t xml:space="preserve">Backend Xmx | MUST HAVE; Backend Xmx | MUST HAVE</t>
  </si>
  <si>
    <t xml:space="preserve">apps/dss/data_design/install.ini [javaopts] backend.xmx=8g. Host RAM about 62GB (&gt;30GB tier -&gt; 8g). Config folder about 193MB (config_listing.txt), so 3x is about 0.6GB. Not in the 32-48GB range. JEK Xmx=2g (hs_err_pid1650445). No OutOfMemoryError in backend.log/.1/.2. Historic crashes: hs_err_pid2859808 (2025-02-25, backend, 'Requested array size exceeds VM limit'); hs_err_pid1650445 (2025-12-23, JEK, 'Java heap space'); hs_err_pid5201 (2026-03-28, backend) and hs_err_pid2976607 (2026-07-21, JVM start) are native mmap failures ('insufficient memory ... system is out of physical RAM or swap').</t>
  </si>
  <si>
    <t xml:space="preserve">The heap size meets the heuristic. The two most recent crashes are not heap-sizing problems: they are host RAM exhaustion (no swap; free -m shows Swap 0), where the JVM could not commit native memory. That points to host-level overcommit, not backend.xmx. Root cause is tracked in SCALE-009 and SEC-004. Keep 8g, or go to 12g at most only after host memory is under control.</t>
  </si>
  <si>
    <t xml:space="preserve">Flow Parallelism Limits</t>
  </si>
  <si>
    <t xml:space="preserve">Configure Flow concurrency limits using the 5-step sizing framework: reserve OS/backend.xmx memory, allocate roughly 70% of remaining memory to CGroups (less if offloading heavy workloads to EKS/Kubernetes), size Max Jobs from the remaining JEK memory, set the global Max Activities limit (30-50) as a backstop above Max Jobs, and leave Max Activities per Job at the default of 5. Max Jobs must never be set to 0, as this disables the limit entirely and risks crashing the instance via OOM.</t>
  </si>
  <si>
    <t xml:space="preserve">general-settings.json &gt; maxRunningJobs</t>
  </si>
  <si>
    <t xml:space="preserve">0</t>
  </si>
  <si>
    <t xml:space="preserve">Also verify general-settings.json &gt; maxRunningActivities falls within 30-50, and maxRunningActivitiesPerJob is at the default of 5 unless justified. Front-end equivalent: Administration &gt; Settings &gt; Resources control &gt; Concurrent Activities.</t>
  </si>
  <si>
    <t xml:space="preserve">maxRunningJobs set to a positive nonzero value derived from the 5-step memory sizing framework; maxRunningActivities within 30-50; maxRunningActivitiesPerJob at 5 (or a justified alternative).</t>
  </si>
  <si>
    <t xml:space="preserve">maxRunningJobs is 0 or blank (critical stability risk); maxRunningActivities is outside 30-50 without justification; sizing doesn't account for available host memory, risking OOM.</t>
  </si>
  <si>
    <t xml:space="preserve">If these general-settings.json values are missing from the diagnosis, flag needs_manual_review and check the Administration &gt; Settings &gt; Resources control UI directly.</t>
  </si>
  <si>
    <t xml:space="preserve">Improperly sized flow limits risk instance-wide Out-Of-Memory crashes; Max Jobs=0 disables protection entirely.</t>
  </si>
  <si>
    <t xml:space="preserve">Flow limits, Max Jobs, Max Activities, CGroups, JEK, memory sizing</t>
  </si>
  <si>
    <t xml:space="preserve">8, 9, 10, 11</t>
  </si>
  <si>
    <t xml:space="preserve">Flow parallelism | MUST HAVE; Flow parallelism | MUST HAVE; Flow parallelism | MUST HAVE; Flow parallelism | MUST HAVE</t>
  </si>
  <si>
    <t xml:space="preserve">apps/dss/data_design/config/general-settings.json jekSettings.maxRunningJobs=0 (limit disabled; the same value was in general-settings.json_bkp from Oct 2024); maxRunningActivities=5; maxRunningActivitiesPerJob=5; maxRunningActivitiesPerKey=[]. Host: 62GB RAM, no swap, 8 cores; DSS cgroup 40G; backend 8g; JEKs 2g each and outside cgroups (SEC-005). hs_err_pid5201 (2026-03-28) and hs_err_pid2976607 (2026-07-21): native memory mmap failures; hs_err_pid1650445 (2025-12-23): JEK heap OOM.</t>
  </si>
  <si>
    <t xml:space="preserve">SCALE-010</t>
  </si>
  <si>
    <t xml:space="preserve">Default Connection &amp; Engine Preferences</t>
  </si>
  <si>
    <t xml:space="preserve">Preferred Connections and Engines Settings</t>
  </si>
  <si>
    <t xml:space="preserve">Default dataset creation settings and recipe engine preferences (preferedConnection, forcedPreferedConnection, preferedUploadConnection, preferedStorageFormats) are blank by default and should remain so unless a specific use case justifies setting them; in particular, preferred engine should almost always be left blank for v12+ instances since altering it can cause breaking changes.</t>
  </si>
  <si>
    <t xml:space="preserve">general-settings.json &gt; defaultDatasetCreationSettings / recipeEnginesPreferences (preferedConnection, forcedPreferedConnection, preferedUploadConnection, preferedStorageFormats)</t>
  </si>
  <si>
    <t xml:space="preserve">unset/blank unless justified specific use case</t>
  </si>
  <si>
    <t xml:space="preserve">These keys may be entirely absent from general-settings.json if left blank, which is the expected default state.</t>
  </si>
  <si>
    <t xml:space="preserve">Keys absent or blank in general-settings.json, or if set, a documented specific use case justifies the value (e.g., not forcing storage to a local server).</t>
  </si>
  <si>
    <t xml:space="preserve">preferedConnection/forcedPreferedConnection set to force local server storage, or preferred engine changed without clear justification, especially on v12+ instances.</t>
  </si>
  <si>
    <t xml:space="preserve">If this section of general-settings.json is missing from the diagnosis, flag needs_manual_review and check the Administration &gt; Settings &gt; Engines &amp; connections UI.</t>
  </si>
  <si>
    <t xml:space="preserve">These settings default to blank for good reason; forcing values can cause breaking changes or performance issues (e.g., forcing local storage).</t>
  </si>
  <si>
    <t xml:space="preserve">default dataset creation, recipe engine preferences, connections</t>
  </si>
  <si>
    <t xml:space="preserve">12, 13, 14</t>
  </si>
  <si>
    <t xml:space="preserve">Preferreds and Defaults | NICE TO HAVE; Preferreds and Defaults | NICE TO HAVE; Preferreds and Defaults | NICE TO HAVE</t>
  </si>
  <si>
    <t xml:space="preserve">Expected value is contextual ('reasonable values' if set), not a fixed constant, so the check requires judgment.</t>
  </si>
  <si>
    <t xml:space="preserve">apps/dss/data_design/config/general-settings.json defaultDatasetCreationSettings: no preferedConnection/forcedPreferedConnection/preferedUploadConnection; preferedStorageFormats='CSV_ESCAPING_NOGZIP_FORHIVE,CSV_EXCEL_GZIP,PARQUET_HIVE' (unchanged since the Oct 2024 _bkp); recipeEnginesPreferences all empty (no forced or preferred engines).</t>
  </si>
  <si>
    <t xml:space="preserve">No forced connection and no engine preference: aligned with the v12+ guidance. The storage-format order is the standard list; leave it.</t>
  </si>
  <si>
    <t xml:space="preserve">Connections Hygiene</t>
  </si>
  <si>
    <t xml:space="preserve">The default filesystem_root connection pointing to the server's root filesystem should be removed unless actively used by a project; if in use, propose a dedicated scoped connection to the specific path before removing filesystem_root.</t>
  </si>
  <si>
    <t xml:space="preserve">connections.json &gt; filesystem_root</t>
  </si>
  <si>
    <t xml:space="preserve">removed (unless replaced by a scoped connection after confirming no active project usage)</t>
  </si>
  <si>
    <t xml:space="preserve">Check usage via Administration -&gt; Monitoring before deletion.</t>
  </si>
  <si>
    <t xml:space="preserve">filesystem_root connection absent from the connections list, or confirmed unused and removed; if it was in use, a dedicated scoped connection was created to replace it.</t>
  </si>
  <si>
    <t xml:space="preserve">filesystem_root connection still present and either unused (should have been deleted) or in use without a safer scoped replacement.</t>
  </si>
  <si>
    <t xml:space="preserve">If the connections list isn't in the diagnosis, flag needs_manual_review and check the Administration &gt; Connections UI directly.</t>
  </si>
  <si>
    <t xml:space="preserve">The filesystem_root connection exposes the entire server filesystem, posing a security and stability risk.</t>
  </si>
  <si>
    <t xml:space="preserve">connections, filesystem_root, security</t>
  </si>
  <si>
    <t xml:space="preserve">Remove filesystem_root connection | MUST HAVE; Remove filesystem_root connection | MUST HAVE</t>
  </si>
  <si>
    <t xml:space="preserve">apps/dss/data_design/config/connections.json: 'filesystem_root' (type Filesystem, params.root='/') present; usableBy=ALLOWED for Other_EDP_EAR-AA-20677_DSS_NP_ADMIN_local and Other_EDP_EAR-AA-20677_DSS_NP_DATA_SCIENTIST_Local; detailsReadability.readableBy=ALL.</t>
  </si>
  <si>
    <t xml:space="preserve">Cloud Storage Connections</t>
  </si>
  <si>
    <t xml:space="preserve">For S3/Azure Blob/GCS connections, enable 'Details readable by' to allow compute engines (Spark, Snowflake, Databricks) direct/parallel access instead of funneling through the DSS node, and set the appropriate HDFS interface per cloud/storage type (S3: S3A off-EMR or EMRFS on-EMR; Azure Blob: ABFS if Hierarchical namespace enabled else WASB; GCS: GS). Consider S3 VPC endpoints if custom VPC egress routing impacts performance, though this should be a recommendation rather than a mandatory fix.</t>
  </si>
  <si>
    <t xml:space="preserve">cloud storage connection settings &gt; detailsReadableBy</t>
  </si>
  <si>
    <t xml:space="preserve">enabled</t>
  </si>
  <si>
    <t xml:space="preserve">Also verify HDFS interface setting matches the cloud storage type mapping (S3A/EMRFS for S3, ABFS/WASB for Azure Blob, GS for GCS).</t>
  </si>
  <si>
    <t xml:space="preserve">Cloud storage connections show 'Details readable by' enabled and the correct HDFS interface configured per the platform/type mapping.</t>
  </si>
  <si>
    <t xml:space="preserve">'Details readable by' disabled, forcing all traffic through the DSS node (performance bottleneck), or a mismatched/incorrect HDFS interface for the cloud storage type.</t>
  </si>
  <si>
    <t xml:space="preserve">If connection details aren't in the diagnosis, flag needs_manual_review and check Administration &gt; Connections for each cloud storage connection.</t>
  </si>
  <si>
    <t xml:space="preserve">Without 'Details readable by', all data traffic funnels through the single DSS node creating a performance bottleneck; correct HDFS interface ensures compatibility with distributed compute engines.</t>
  </si>
  <si>
    <t xml:space="preserve">cloud storage connections, details readable by, HDFS interface, S3, Azure Blob, GCS</t>
  </si>
  <si>
    <t xml:space="preserve">Cloud Object Storage | MUST HAVE; Cloud Object Storage | MUST HAVE</t>
  </si>
  <si>
    <t xml:space="preserve">apps/dss/data_design/config/connections.json: ear27331_blob_stg_1 (Azure) detailsReadability=NONE, hdfsInterface=NONE; ear27026_blob_connection (Azure) readableBy=ALLOWED [admin group], hdfsInterface=NONE; ear21183_gcp_GCS_intermediate (GCS) readableBy=ALLOWED [ear-21183 designer/viewer], hdfsInterface=NONE. apps/dss/data_design/run/sanity-check.json: WARN_CONNECTION_SPARK_NO_GROUP_WITH_DETAILS_READ_ACCESS for ear27331_blob_stg_1.</t>
  </si>
  <si>
    <t xml:space="preserve">SCALE-013</t>
  </si>
  <si>
    <t xml:space="preserve">Cloud Data Warehouse Connections</t>
  </si>
  <si>
    <t xml:space="preserve">Snowflake Connection Configuration</t>
  </si>
  <si>
    <t xml:space="preserve">For Snowflake connections, confirm the cloud storage connection's authentication is compatible with Automatic fast-write, and enable Spark native integration, UDF support, and Automatic fast-write. 'Details readable by' on the cloud storage connection is required for Snowpark and Spark Native integration; without it, users are limited to Visual and SQL recipes.</t>
  </si>
  <si>
    <t xml:space="preserve">Snowflake connection settings &gt; enableAutomaticFastWrite / enableSparkNativeIntegration / enableUDF, and cloud storage connection &gt; detailsReadableBy</t>
  </si>
  <si>
    <t xml:space="preserve">Cloud storage connection authentication must also meet the Automatic fast-write requirements per Dataiku documentation.</t>
  </si>
  <si>
    <t xml:space="preserve">Snowflake connection shows Automatic fast-write, Spark native integration, and UDF enabled where applicable, and the cloud storage connection has 'Details readable by' enabled with compatible auth.</t>
  </si>
  <si>
    <t xml:space="preserve">These settings disabled without justification, or cloud storage auth incompatible with fast-write requirements, limiting functionality (e.g., no Snowpark/Spark native access).</t>
  </si>
  <si>
    <t xml:space="preserve">If Snowflake connection settings aren't present in the diagnosis, flag needs_manual_review and check Administration &gt; Connections for the Snowflake connection.</t>
  </si>
  <si>
    <t xml:space="preserve">These settings enable performant, parallel data movement and advanced compute integration (Snowpark, Spark) rather than slow single-threaded funneling.</t>
  </si>
  <si>
    <t xml:space="preserve">Snowflake, Automatic fast-write, Spark native integration, details readable by</t>
  </si>
  <si>
    <t xml:space="preserve">16, 17</t>
  </si>
  <si>
    <t xml:space="preserve">Snowflake | MUST HAVE; Snowflake | MUST HAVE</t>
  </si>
  <si>
    <t xml:space="preserve">apps/dss/data_design/config/connections.json: no Snowflake connections (types: MySQL 15, SQLServer 9, AzureOpenAI 9, Oracle 4, Filesystem 3, BigQuery 2, AzureAISearch 2, Azure 2, GCS 1, VertexAILLM 1).</t>
  </si>
  <si>
    <t xml:space="preserve">There is no Snowflake connection.</t>
  </si>
  <si>
    <t xml:space="preserve">SCALE-014</t>
  </si>
  <si>
    <t xml:space="preserve">Databricks Connection Configuration</t>
  </si>
  <si>
    <t xml:space="preserve">For Databricks connections, confirm the cloud storage connection's authentication is compatible with Automatic fast-write, and enable both Automatic fast-write and 'Details readable by' on the cloud storage connection.</t>
  </si>
  <si>
    <t xml:space="preserve">Databricks connection settings &gt; enableAutomaticFastWrite, and cloud storage connection &gt; detailsReadableBy</t>
  </si>
  <si>
    <t xml:space="preserve">Databricks connection shows Automatic fast-write enabled, and the cloud storage connection has 'Details readable by' enabled with compatible auth.</t>
  </si>
  <si>
    <t xml:space="preserve">Automatic fast-write or 'Details readable by' disabled, or cloud storage auth incompatible with fast-write requirements.</t>
  </si>
  <si>
    <t xml:space="preserve">If Databricks connection settings aren't present in the diagnosis, flag needs_manual_review and check Administration &gt; Connections for the Databricks connection.</t>
  </si>
  <si>
    <t xml:space="preserve">These settings enable performant, parallel data movement between DSS and Databricks rather than slow single-threaded funneling.</t>
  </si>
  <si>
    <t xml:space="preserve">Databricks, Automatic fast-write, details readable by</t>
  </si>
  <si>
    <t xml:space="preserve">17, 18</t>
  </si>
  <si>
    <t xml:space="preserve">Databricks | MUST HAVE; Databricks | MUST HAVE</t>
  </si>
  <si>
    <t xml:space="preserve">apps/dss/data_design/config/connections.json: no Databricks connections.</t>
  </si>
  <si>
    <t xml:space="preserve">There is no Databricks connection.</t>
  </si>
  <si>
    <t xml:space="preserve">For Redshift, BigQuery, and Synapse connections, confirm the cloud storage connection's authentication is compatible with Automatic fast-write, and enable Automatic fast-write. Note that for Redshift, the Fast Path only applies to writing to Redshift, not to unload operations.</t>
  </si>
  <si>
    <t xml:space="preserve">Redshift/BigQuery/Synapse connection settings &gt; enableAutomaticFastWrite</t>
  </si>
  <si>
    <t xml:space="preserve">Cloud storage connection authentication must also meet the Automatic fast-write requirements per Dataiku documentation; Redshift Fast Path is write-only and does not apply to unload.</t>
  </si>
  <si>
    <t xml:space="preserve">Redshift/BigQuery/Synapse connection shows Automatic fast-write enabled and compatible cloud storage authentication.</t>
  </si>
  <si>
    <t xml:space="preserve">Automatic fast-write disabled, or cloud storage auth incompatible with fast-write requirements.</t>
  </si>
  <si>
    <t xml:space="preserve">If these connection settings aren't present in the diagnosis, flag needs_manual_review and check Administration &gt; Connections for the relevant connection.</t>
  </si>
  <si>
    <t xml:space="preserve">Automatic fast-write enables performant, parallel data movement rather than slow single-threaded funneling.</t>
  </si>
  <si>
    <t xml:space="preserve">Redshift, BigQuery, Synapse, Automatic fast-write</t>
  </si>
  <si>
    <t xml:space="preserve">18</t>
  </si>
  <si>
    <t xml:space="preserve">Amazon Redshift, Google BigQuery, Azure Synapse | MUST HAVE</t>
  </si>
  <si>
    <t xml:space="preserve">apps/dss/data_design/config/connections.json: BigQuery 'ear21183_gcp_big_query_intermediate' useAutoFastPath=false; BigQuery 'ear27554_bigquery' useAutoFastPath=false. A GCS connection exists (ear21183_gcp_GCS_intermediate, authType KEYPAIR) that could serve as the fast-path staging area.</t>
  </si>
  <si>
    <t xml:space="preserve">SCALE-016</t>
  </si>
  <si>
    <t xml:space="preserve">Disaster Recovery &amp; High Availability</t>
  </si>
  <si>
    <t xml:space="preserve">Disaster Recovery Strategy Discussion</t>
  </si>
  <si>
    <t xml:space="preserve">Discuss disaster recovery (DR) and high-availability (HA) considerations with the client based on the criticality of workloads: verify backup/snapshot scheduling against a defined RPO, existence of tested and possibly automated recovery procedures meeting RTO, and for active/passive HA setups, validate redundant identical servers without a common SPOF, shared/replicated storage, cluster/network failover management with fencing and a vanity/floating IP, and active monitoring/alerting (noting Dataiku does not provide monitoring). Do not commit to implementing a DR solution during the review sessions themselves.</t>
  </si>
  <si>
    <t xml:space="preserve">Documented backup/snapshot schedule meeting RPO, tested recovery/failover procedures meeting RTO, and for HA setups: redundant identical servers without shared SPOF, properly configured shared/replicated storage, cluster management with fencing, a vanity URL/floating IP, and active monitoring.</t>
  </si>
  <si>
    <t xml:space="preserve">No RPO/RTO defined, infrequent or untested backups, no documented recovery procedure, or HA setup missing key components (shared SPOF present, no fencing mechanism, no monitoring).</t>
  </si>
  <si>
    <t xml:space="preserve">If DR/HA plans are not discussed or documented in available materials, flag needs_manual_review and schedule a dedicated discussion with the client; do not commit to building a DR solution as part of the review itself.</t>
  </si>
  <si>
    <t xml:space="preserve">HA/DR planning ensures business continuity; horizontal HA is not natively possible for stateful DSS instances, making backup/recovery discipline critical.</t>
  </si>
  <si>
    <t xml:space="preserve">disaster recovery, high availability, RPO, RTO, failover</t>
  </si>
  <si>
    <t xml:space="preserve">18, 19, 20</t>
  </si>
  <si>
    <t xml:space="preserve">Disaster Recovery Strategy (Placeholder) | NICE TO HAVE; Disaster Recovery Strategy (Placeholder) | NICE TO HAVE; Disaster Recovery Strategy (Placeholder) | NICE TO HAVE</t>
  </si>
  <si>
    <t xml:space="preserve">Section heading is marked '(Placeholder)', suggesting the content may be incomplete or subject to revision in the source document.</t>
  </si>
  <si>
    <t xml:space="preserve">No DR/HA material in the bundle. Single custom-install VM on GCP; H2 runtime DB; no backup evidence.</t>
  </si>
  <si>
    <t xml:space="preserve">Hold a dedicated DR/HA discussion covering RPO/RTO, snapshot schedule and restore testing. Note the H2 DB and single-VM setup. Do not commit to building DR during this review.</t>
  </si>
  <si>
    <t xml:space="preserve">Information Disclosure Prevention</t>
  </si>
  <si>
    <t xml:space="preserve">By default, the DSS backend sends backend error stack traces to logged-in users to ease debugging; this can be disabled so that internal error details (file paths, internals, library versions) are not exposed to end users, by setting the security.hideErrorStacks key to true in general-settings.json.</t>
  </si>
  <si>
    <t xml:space="preserve">general-settings.json &gt; security.hideErrorStacks</t>
  </si>
  <si>
    <t xml:space="preserve">general-settings.json contains a "security" object with "hideErrorStacks": true.</t>
  </si>
  <si>
    <t xml:space="preserve">The "security" key is absent, or present without "hideErrorStacks", or it is explicitly set to false, meaning stack traces are still shown to logged-in users.</t>
  </si>
  <si>
    <t xml:space="preserve">If the diagnosis does not include the contents of general-settings.json, flag as needs_manual_review, since absence of the key means the DSS-shipped default (stack traces shown) applies.</t>
  </si>
  <si>
    <t xml:space="preserve">By default DSS sends backend error stacks to logged-in users to make debugging and understanding easier; this can be turned off to prevent internal implementation details from leaking to users.</t>
  </si>
  <si>
    <t xml:space="preserve">general-settings.json, security settings, error handling</t>
  </si>
  <si>
    <t xml:space="preserve">advanced_security_options</t>
  </si>
  <si>
    <t xml:space="preserve">Hiding error stacks; Hiding error stacks</t>
  </si>
  <si>
    <t xml:space="preserve">apps/dss/data_design/config/general-settings.json security.hideErrorStacks=false.</t>
  </si>
  <si>
    <t xml:space="preserve">ADVSEC-002</t>
  </si>
  <si>
    <t xml:space="preserve">Hiding version info</t>
  </si>
  <si>
    <t xml:space="preserve">By default, the DSS backend sends DSS version information even to non-logged-in users; this can be suppressed by setting security.hideVersionStringsWhenNotLogged to true in general-settings.json.</t>
  </si>
  <si>
    <t xml:space="preserve">general-settings.json &gt; security.hideVersionStringsWhenNotLogged</t>
  </si>
  <si>
    <t xml:space="preserve">general-settings.json "security" object contains "hideVersionStringsWhenNotLogged": true.</t>
  </si>
  <si>
    <t xml:space="preserve">The key is absent or set to false, meaning version info is still sent to non-logged-in users.</t>
  </si>
  <si>
    <t xml:space="preserve">If general-settings.json content is not present in the diagnosis, flag as needs_manual_review; the default (version info exposed) applies absent this key.</t>
  </si>
  <si>
    <t xml:space="preserve">By default DSS sends version information even to non-logged in users; this can be disabled to reduce fingerprinting of the DSS instance.</t>
  </si>
  <si>
    <t xml:space="preserve">general-settings.json, security settings, version disclosure</t>
  </si>
  <si>
    <t xml:space="preserve">apps/dss/data_design/config/general-settings.json security.hideVersionStringsWhenNotLogged=false.</t>
  </si>
  <si>
    <t xml:space="preserve">The DSS version is exposed to unauthenticated users. Set it to true to reduce fingerprinting.</t>
  </si>
  <si>
    <t xml:space="preserve">ADVSEC-003</t>
  </si>
  <si>
    <t xml:space="preserve">Cookie &amp; Transport Security</t>
  </si>
  <si>
    <t xml:space="preserve">Using secure cookies</t>
  </si>
  <si>
    <t xml:space="preserve">By default, DSS login cookies do not carry the Secure flag, meaning they could be sent over unencrypted HTTP. Where HTTPS is used for all users (natively or via reverse proxy), administrators should set security.secureCookies to true in general-settings.json so that session cookies are only ever transmitted over secure connections, enhancing session security.</t>
  </si>
  <si>
    <t xml:space="preserve">general-settings.json &gt; security.secureCookies</t>
  </si>
  <si>
    <t xml:space="preserve">Should only be enabled once DSS is served exclusively over HTTPS everywhere (natively or via reverse proxy); enabling without full HTTPS coverage would break login for HTTP-only clients.</t>
  </si>
  <si>
    <t xml:space="preserve">general-settings.json shows secureCookies: true under the security top-level section, ideally alongside evidence that DSS/its reverse proxy enforces HTTPS for all users.</t>
  </si>
  <si>
    <t xml:space="preserve">secureCookies is false or absent while HTTPS is confirmed used for all users, or secureCookies is true without any HTTPS confirmation.</t>
  </si>
  <si>
    <t xml:space="preserve">If HTTPS usage status or the general-settings.json security section is not visible in the diagnosis file, flag as needs_manual_review.</t>
  </si>
  <si>
    <t xml:space="preserve">Secure cookies prevent cookies from being transmitted over unencrypted connections, reducing session hijacking risk when HTTPS is in use; they ensure the browser never sends the session cookie over unsecured connections, further securing user sessions.</t>
  </si>
  <si>
    <t xml:space="preserve">secure cookies, general-settings.json, security settings, cookies, HTTPS</t>
  </si>
  <si>
    <t xml:space="preserve">advanced_security_options, security_permissions_compliance</t>
  </si>
  <si>
    <t xml:space="preserve">6, 7, 2, 3</t>
  </si>
  <si>
    <t xml:space="preserve">Secure Cookies | NICE TO HAVE; Secure Cookies | NICE TO HAVE (Review steps); Using secure cookies; Using secure cookies</t>
  </si>
  <si>
    <t xml:space="preserve">Source documents disagree on priority: the security_permissions_compliance document explicitly tags this NICE TO HAVE, while the advanced_security_options document treats it as must_have via inferred reasoning about session-security hardening. Per merge policy, the explicit_in_source classification (nice_to_have) was retained; downstream reviewers should be aware of this discrepancy when weighing severity.</t>
  </si>
  <si>
    <t xml:space="preserve">apps/dss/data_design/config/general-settings.json security.secureCookies=false, while access is via HTTPS (studioExternalUrl https://design.ds.p4d.data.slb.com; HSTS set in install.ini).</t>
  </si>
  <si>
    <t xml:space="preserve">HTTPS is in use (see SEC-006), but session cookies lack the Secure flag. Once plain HTTP access is confirmed closed, set secureCookies=true.</t>
  </si>
  <si>
    <t xml:space="preserve">Session Management</t>
  </si>
  <si>
    <t xml:space="preserve">DSS can be configured to expire user sessions after a maximum duration since login and/or after a period of inactivity, via Administration &gt; Settings &gt; Security &amp; Audit &gt; User login &amp; provisioning &gt; Session management ('Maximum session duration' and 'Idle timeout'), noting this can cause lost work if a session expires mid-edit.</t>
  </si>
  <si>
    <t xml:space="preserve">Administration &gt; Settings &gt; Security &amp; Audit &gt; User login &amp; provisioning &gt; Session management &gt; Maximum session duration / Idle timeout</t>
  </si>
  <si>
    <t xml:space="preserve">configured to a finite, non-default timeout value</t>
  </si>
  <si>
    <t xml:space="preserve">The source does not mandate a specific numeric threshold, only that admins may configure these fields; treat as satisfied if either or both values are set to a finite duration rather than left unlimited/unset.</t>
  </si>
  <si>
    <t xml:space="preserve">Diagnosis or exported settings show a configured, finite 'Maximum session duration' and/or 'Idle timeout' value in session management settings.</t>
  </si>
  <si>
    <t xml:space="preserve">Session management settings show these fields unset or set to unlimited/no-expiration.</t>
  </si>
  <si>
    <t xml:space="preserve">Session management configuration is often not captured in standard diagnostic exports (it's a UI/DB-stored setting, not a config file key); flag as needs_manual_review, noting the source's own caveat about potential lost work from expiring sessions.</t>
  </si>
  <si>
    <t xml:space="preserve">Session expiration limits how long a stolen or abandoned session remains valid, though the source warns it can cause lost in-progress work (including complications with open Jupyter notebooks).</t>
  </si>
  <si>
    <t xml:space="preserve">session management, user login &amp; provisioning</t>
  </si>
  <si>
    <t xml:space="preserve">No literal config-file key is given for this UI-only setting, and no specific recommended numeric threshold is provided, so the expected_condition is a best-effort conceptual pointer to the UI path rather than a literal field.</t>
  </si>
  <si>
    <t xml:space="preserve">apps/dss/data_design/config/general-settings.json security.sessionsMaxTotalTimeMinutes=0 and sessionsMaxIdleTimeMinutes=0 (no expiry); persistSessionsOnDisk=true.</t>
  </si>
  <si>
    <t xml:space="preserve">By default DSS allows a user to be logged in from multiple sessions simultaneously; administrators can enable 'Force single session per user' (Administration &gt; Settings &gt; Security &amp; Audit &gt; User login &amp; provisioning &gt; Session management) so that a new login terminates all of that user's other active sessions.</t>
  </si>
  <si>
    <t xml:space="preserve">Administration &gt; Settings &gt; Security &amp; Audit &gt; User login &amp; provisioning &gt; Session management &gt; Force single session per user</t>
  </si>
  <si>
    <t xml:space="preserve">This is a UI toggle, not a documented general-settings.json/dip.properties key in the source text.</t>
  </si>
  <si>
    <t xml:space="preserve">Session management settings show 'Force single session per user' enabled.</t>
  </si>
  <si>
    <t xml:space="preserve">The setting is shown as disabled (default), allowing multiple concurrent sessions per user.</t>
  </si>
  <si>
    <t xml:space="preserve">This UI-only toggle is often not captured in diagnostic exports; flag as needs_manual_review, noting the default is disabled (multiple sessions allowed).</t>
  </si>
  <si>
    <t xml:space="preserve">By default users can have multiple simultaneous sessions; forcing a single session per user terminates other sessions on new login, reducing exposure from stale or hijacked sessions.</t>
  </si>
  <si>
    <t xml:space="preserve">No literal config-file key is given for this UI-only setting.</t>
  </si>
  <si>
    <t xml:space="preserve">apps/dss/data_design/config/general-settings.json security.forceSingleSessionPerUser=false.</t>
  </si>
  <si>
    <t xml:space="preserve">ADVSEC-006</t>
  </si>
  <si>
    <t xml:space="preserve">Restricting visibility of groups and users</t>
  </si>
  <si>
    <t xml:space="preserve">By default, all logged-in DSS users can view the full list of groups and users (useful for adding groups to projects and mentioning users); administrators can set security.restrictUsersAndGroupsVisibility to true in general-settings.json to limit visibility to admins, one's own groups/their members, and users who share a project, though this is explicitly a best-effort feature without a guarantee of perfect isolation.</t>
  </si>
  <si>
    <t xml:space="preserve">general-settings.json &gt; security.restrictUsersAndGroupsVisibility</t>
  </si>
  <si>
    <t xml:space="preserve">Best-effort feature; does not guarantee full isolation and reduces convenience features like universal user mentions and easy group-adding for project owners, so instances may deliberately leave it disabled.</t>
  </si>
  <si>
    <t xml:space="preserve">general-settings.json "security" object contains "restrictUsersAndGroupsVisibility": true.</t>
  </si>
  <si>
    <t xml:space="preserve">The key is absent or false, meaning all logged-in users can see the full list of groups and users.</t>
  </si>
  <si>
    <t xml:space="preserve">If general-settings.json content is not present in the diagnosis, flag as needs_manual_review; the default (unrestricted visibility) applies absent this key.</t>
  </si>
  <si>
    <t xml:space="preserve">Restricting visibility of the global user/group list can reduce information available for social-engineering/enumeration, though the source notes it is best-effort and does not guarantee full isolation.</t>
  </si>
  <si>
    <t xml:space="preserve">general-settings.json, security settings, user/group visibility</t>
  </si>
  <si>
    <t xml:space="preserve">Restricting visibility of groups and users; Restricting visibility of groups and users</t>
  </si>
  <si>
    <t xml:space="preserve">Note: despite the subtopic label 'User Isolation Framework' shared with SEC-002, this setting concerns UI-level visibility of the group/user directory and is a distinct checkable practice from the OS-level impersonation-based User Isolation Framework covered in SEC-002.</t>
  </si>
  <si>
    <t xml:space="preserve">apps/dss/data_design/config/general-settings.json security.restrictUsersAndGroupsVisibility=false.</t>
  </si>
  <si>
    <t xml:space="preserve">All users can list every user and group. Consider enabling it, given the multi-tenant per-EAR group model; it is best-effort only.</t>
  </si>
  <si>
    <t xml:space="preserve">ADVSEC-007</t>
  </si>
  <si>
    <t xml:space="preserve">Session &amp; Logout UX</t>
  </si>
  <si>
    <t xml:space="preserve">Redirecting to a custom URL after logout</t>
  </si>
  <si>
    <t xml:space="preserve">By default, users are redirected to a standard DSS-hosted page after logout; administrators can configure security.postLogoutBehavior (CUSTOM_URL for a GET redirect or CUSTOM_URL_POST for a POST request aligned with OpenID Connect RP-Initiated Logout) together with security.postLogoutCustomURL (must be an http/https URL) in general-settings.json to redirect users elsewhere, with DSS validating these settings on save/load and falling back to the default page on invalid values.</t>
  </si>
  <si>
    <t xml:space="preserve">general-settings.json &gt; security.postLogoutBehavior / security.postLogoutCustomURL</t>
  </si>
  <si>
    <t xml:space="preserve">CUSTOM_URL, CUSTOM_URL_POST</t>
  </si>
  <si>
    <t xml:space="preserve">postLogoutCustomURL is required and must be an http/https URL when postLogoutBehavior is CUSTOM_URL or CUSTOM_URL_POST; DSS validates these settings on save and on load, falling back to the default DSS logged-out page if invalid.</t>
  </si>
  <si>
    <t xml:space="preserve">general-settings.json "security" object contains postLogoutBehavior set to CUSTOM_URL or CUSTOM_URL_POST along with a valid http/https postLogoutCustomURL.</t>
  </si>
  <si>
    <t xml:space="preserve">The keys are absent (default DSS logged-out page used) or postLogoutCustomURL is invalid, in which case DSS falls back to default behavior anyway.</t>
  </si>
  <si>
    <t xml:space="preserve">If general-settings.json content is not present in the diagnosis, flag as needs_manual_review; absence means the default logout page is used, which is not a security concern.</t>
  </si>
  <si>
    <t xml:space="preserve">Allows organizations to redirect users to a branded or external page after logout instead of the DSS default logged-out page.</t>
  </si>
  <si>
    <t xml:space="preserve">general-settings.json, security settings, logout, OpenID Connect</t>
  </si>
  <si>
    <t xml:space="preserve">Redirecting to a custom URL after logout; Redirecting to a custom URL after logout</t>
  </si>
  <si>
    <t xml:space="preserve">apps/dss/data_design/config/general-settings.json security.postLogoutBehavior='LOGGED_OUT_PAGE'; no postLogoutCustomURL.</t>
  </si>
  <si>
    <t xml:space="preserve">Low risk: the default logout page is used. With Azure AD OIDC SSO, CUSTOM_URL_POST to the IdP end-session endpoint would give a proper RP-initiated logout. This is optional.</t>
  </si>
  <si>
    <t xml:space="preserve">Content Upload Restrictions</t>
  </si>
  <si>
    <t xml:space="preserve">By default, all logged-in DSS users can upload any type of file to wiki articles; administrators can restrict this by setting dku.wikis.authorizedUploadExtensions in dip.properties to a comma-separated allow-list of file extensions (e.g., png,jpg,jpeg,gif,txt,csv).</t>
  </si>
  <si>
    <t xml:space="preserve">dip.properties &gt; dku.wikis.authorizedUploadExtensions</t>
  </si>
  <si>
    <t xml:space="preserve">restricted list of extensions (e.g., png,jpg,jpeg,gif,txt,csv)</t>
  </si>
  <si>
    <t xml:space="preserve">Default (unset) allows uploads of any file type; presence of this key with a restrictive list indicates the practice is followed.</t>
  </si>
  <si>
    <t xml:space="preserve">dip.properties contains dku.wikis.authorizedUploadExtensions set to a specific, restrictive comma-separated list of extensions.</t>
  </si>
  <si>
    <t xml:space="preserve">The key is absent from dip.properties, meaning any file type can be uploaded to wiki articles.</t>
  </si>
  <si>
    <t xml:space="preserve">If dip.properties content is not present in the diagnosis, flag as needs_manual_review; the default (unrestricted upload types) applies absent this key.</t>
  </si>
  <si>
    <t xml:space="preserve">Restricting file types uploaded to wikis reduces the risk of malicious or unwanted file types being hosted and shared via the DSS wiki feature.</t>
  </si>
  <si>
    <t xml:space="preserve">dip.properties, wikis, file upload restrictions</t>
  </si>
  <si>
    <t xml:space="preserve">apps/dss/data_design/config/dip.properties has no dku.wikis.authorizedUploadExtensions (the file contains only logging.limit.* and dku.scenarios.triggers.* keys).</t>
  </si>
  <si>
    <t xml:space="preserve">Data Exfiltration Controls</t>
  </si>
  <si>
    <t xml:space="preserve">DSS can globally restrict export/copy features (regardless of project-level permissions) via a set of escalating dip.properties keys: disableAllDatasetExports, disableAllDataExports (implies the former), disableAllExports (implies both former), plus the independent disableCopySampleToClipboard and disableSQLNotebookCopyResultToClipboard keys for clipboard copying; the source explicitly warns this is only a 'best-effort' restriction since any user who can see data can still exfiltrate it, e.g. via copy/paste.</t>
  </si>
  <si>
    <t xml:space="preserve">dip.properties &gt; dku.exports.disable*</t>
  </si>
  <si>
    <t xml:space="preserve">dku.exports.disableAllDatasetExports=true; dku.exports.disableAllDataExports=true; dku.exports.disableAllExports=true; dku.exports.disableCopySampleToClipboard=true; dku.exports.disableSQLNotebookCopyResultToClipboard=true</t>
  </si>
  <si>
    <t xml:space="preserve">dku.exports.disableAllDatasetExports=true disables 'Download' export of datasets to files (CSV, Excel, Tableau Hyper, etc.), plus including datasets in project exports/bundle downloads and attaching datasets to emails in scenarios; other exports (ML data, schema, SQL queries, prepared data) remain possible. dku.exports.disableAllDataExports=true implies the previous key and additionally disables exports of prepared data or SQL query results, downloading files/zips from managed folders, and including datasets or managed folders in project exports/bundle downloads or scenario email attachments; ML data and schema exports remain possible. dku.exports.disableAllExports=true implies both previous keys and additionally disables exports of ML data and schemas, so essentially all dataset, prepared-data, SQL-query, ML data/schema, and managed-folder exports, downloads, bundle inclusions, and email attachments are disabled. dku.exports.disableCopySampleToClipboard=true disables copying data samples to the clipboard everywhere except SQL notebooks (default false, i.e. enabled). dku.exports.disableSQLNotebookCopyResultToClipboard=true disables copying results to the clipboard specifically in SQL notebooks (default false, i.e. enabled).</t>
  </si>
  <si>
    <t xml:space="preserve">dip.properties contains one or more of the five dku.exports.disable* keys set to true, at a scope level (dataset/data/all) matching the organization's data-exfiltration risk tolerance.</t>
  </si>
  <si>
    <t xml:space="preserve">None of the dku.exports.disable* keys are present or set to true, meaning full export and clipboard-copy capabilities remain available to any user with data-view permission.</t>
  </si>
  <si>
    <t xml:space="preserve">dip.properties content is often not fully captured in diagnostics; if absent, flag as needs_manual_review. Importantly, even when these settings are enabled, treat this only as a risk-reduction control, not a guarantee: the source explicitly states export restriction is inherently 'best-effort' since a user who can view data can still exfiltrate it by other means (e.g., copy/paste).</t>
  </si>
  <si>
    <t xml:space="preserve">Restricting export and clipboard-copy features reduces (but per the source's own warning, does not eliminate) the ability of authorized viewers to exfiltrate data out of DSS.</t>
  </si>
  <si>
    <t xml:space="preserve">dip.properties, exports, data exfiltration</t>
  </si>
  <si>
    <t xml:space="preserve">6, 7, 8</t>
  </si>
  <si>
    <t xml:space="preserve">Restricting exports; Restricting exports; Restricting exports</t>
  </si>
  <si>
    <t xml:space="preserve">apps/dss/data_design/config/dip.properties has no dku.exports.disable* keys.</t>
  </si>
  <si>
    <t xml:space="preserve">ADVSEC-010</t>
  </si>
  <si>
    <t xml:space="preserve">Transport &amp; Browser Hardening</t>
  </si>
  <si>
    <t xml:space="preserve">Setting security-related HTTP headers</t>
  </si>
  <si>
    <t xml:space="preserve">DSS supports configuring standard security-related HTTP response headers (X-Frame-Options, Content-Security-Policy, X-XSS-Protection, X-Content-Type-Options, Strict-Transport-Security, Referrer-Policy, Permissions-Policy, Cross-Origin-Embedder-Policy, Cross-Origin-Opener-Policy, Cross-Origin-Resource-Policy) in the [server] section of install.ini, requiring a `dssadmin regenerate-config` run and a DSS restart to take effect.</t>
  </si>
  <si>
    <t xml:space="preserve">install.ini &gt; [server] content-security-policy / x-frame-options / x-content-type-options / x-xss-protection / hsts-max-age / referrer-policy / permissions-policy / cross-origin-embedder-policy / cross-origin-opener-policy / cross-origin-resource-policy</t>
  </si>
  <si>
    <t xml:space="preserve">restrictive values configured for each applicable header (e.g., x-frame-options=SAMEORIGIN, x-content-type-options=nosniff, hsts-max-age set to a non-zero value, a content-security-policy restricting sources)</t>
  </si>
  <si>
    <t xml:space="preserve">The source provides an example syntax but does not mandate one canonical value set for every header; presence of a restrictive, deliberately-chosen value for each relevant header indicates the practice is followed.</t>
  </si>
  <si>
    <t xml:space="preserve">install.ini's [server] section contains one or more of these header keys with restrictive values (e.g., SAMEORIGIN/DENY for x-frame-options, nosniff for x-content-type-options, a non-trivial content-security-policy, hsts-max-age set).</t>
  </si>
  <si>
    <t xml:space="preserve">The [server] section lacks these header keys entirely, meaning DSS is not emitting these security headers (browser defaults/no explicit protection).</t>
  </si>
  <si>
    <t xml:space="preserve">install.ini is a server-level config file often not captured in diagnostics; if absent, flag as needs_manual_review, since the default state (no headers configured) cannot otherwise be confirmed.</t>
  </si>
  <si>
    <t xml:space="preserve">Configuring these headers hardens the DSS Web application against clickjacking, XSS, MIME-sniffing, protocol downgrade, and cross-origin data leakage attacks.</t>
  </si>
  <si>
    <t xml:space="preserve">install.ini, HTTP security headers, CSP, HSTS</t>
  </si>
  <si>
    <t xml:space="preserve">apps/dss/data_design/install.ini [server]: content-security-policy="script-src 'self' 'unsafe-inline' 'unsafe-eval'; frame-ancestors 'none'", x-frame-options=SAMEORIGIN, x-content-type-options=nosniff, x-xss-protection=1;mode=block, hsts-max-age=31536000, referrer-policy=same-origin.</t>
  </si>
  <si>
    <t xml:space="preserve">The core security headers are set. Improvements: the CSP allows 'unsafe-inline'/'unsafe-eval' in script-src; permissions-policy and cross-origin-embedder/opener/resource-policy are not set. Also, x-frame-options=SAMEORIGIN is looser than CSP frame-ancestors 'none'; align them.</t>
  </si>
  <si>
    <t xml:space="preserve">ADVSEC-011</t>
  </si>
  <si>
    <t xml:space="preserve">Embedding &amp; Cookie Policy Tradeoffs</t>
  </si>
  <si>
    <t xml:space="preserve">Allowing DSS to be hosted inside an iframe</t>
  </si>
  <si>
    <t xml:space="preserve">By default DSS cannot be embedded in an iframe because browsers treat its authentication cookies as SameSite=Lax; enabling iframe embedding requires setting both security.sameSiteNoneCookies and security.secureCookies to true in general-settings.json, and requires DSS to be accessed exclusively via HTTPS (since browsers ignore SameSite=None on non-secure cookies).</t>
  </si>
  <si>
    <t xml:space="preserve">general-settings.json &gt; security.sameSiteNoneCookies</t>
  </si>
  <si>
    <t xml:space="preserve">false (secure default) unless a documented iframe-embedding need exists</t>
  </si>
  <si>
    <t xml:space="preserve">If enabled, security.secureCookies must also be true and DSS must be served exclusively over HTTPS; sameSiteNoneCookies=true without a documented business need for iframe embedding is a red flag.</t>
  </si>
  <si>
    <t xml:space="preserve">general-settings.json "security" object omits sameSiteNoneCookies or sets it to false (secure default preserved).</t>
  </si>
  <si>
    <t xml:space="preserve">sameSiteNoneCookies is set to true without secureCookies also being true and/or without confirmed exclusive HTTPS access, or is enabled with no documented iframe-embedding justification.</t>
  </si>
  <si>
    <t xml:space="preserve">If general-settings.json's security block is not present in the diagnosis, flag as needs_manual_review; the default assumption (disabled, DSS not embeddable) applies absent this key.</t>
  </si>
  <si>
    <t xml:space="preserve">Allowing iframe embedding is only intended for specific integration scenarios; enabling it relaxes a cookie protection browsers use to mitigate certain cross-site attack vectors, so it should be a deliberate, justified choice.</t>
  </si>
  <si>
    <t xml:space="preserve">general-settings.json, security settings, cookies, iframe embedding, SameSite</t>
  </si>
  <si>
    <t xml:space="preserve">Allowing DSS to be hosted inside an iframe; Allowing DSS to be hosted inside an iframe</t>
  </si>
  <si>
    <t xml:space="preserve">apps/dss/data_design/config/general-settings.json security.sameSiteNoneCookies=false.</t>
  </si>
  <si>
    <t xml:space="preserve">The secure default is kept, and DSS cannot be embedded in an iframe.</t>
  </si>
  <si>
    <t xml:space="preserve">ADVSEC-012</t>
  </si>
  <si>
    <t xml:space="preserve">Content Rendering Hardening</t>
  </si>
  <si>
    <t xml:space="preserve">Preventing links to be clickable in data tables</t>
  </si>
  <si>
    <t xml:space="preserve">By default, DSS renders links as clickable in dataset Explore and dataset insights views; this can be disabled by setting dku.feature.dataTableLinks.enabled to false in dip.properties, preventing users from clicking potentially malicious or phishing links embedded within data content.</t>
  </si>
  <si>
    <t xml:space="preserve">dip.properties &gt; dku.feature.dataTableLinks.enabled</t>
  </si>
  <si>
    <t xml:space="preserve">false</t>
  </si>
  <si>
    <t xml:space="preserve">dip.properties contains dku.feature.dataTableLinks.enabled=false.</t>
  </si>
  <si>
    <t xml:space="preserve">The key is absent (default true) or explicitly set to true, meaning links in data tables remain clickable.</t>
  </si>
  <si>
    <t xml:space="preserve">If dip.properties content is not present in the diagnosis, flag as needs_manual_review; the default (links clickable) applies absent this key.</t>
  </si>
  <si>
    <t xml:space="preserve">Disabling clickable links in dataset Explore/insights reduces the risk that a malicious or phishing link embedded in data content could be inadvertently clicked by a user.</t>
  </si>
  <si>
    <t xml:space="preserve">dip.properties, dataset explore, phishing mitigation</t>
  </si>
  <si>
    <t xml:space="preserve">9</t>
  </si>
  <si>
    <t xml:space="preserve">apps/dss/data_design/config/dip.properties has no dku.feature.dataTableLinks.enabled key; apps/dss/data_design/config/general-settings.json security.disableDataTableLinks=false.</t>
  </si>
  <si>
    <t xml:space="preserve">Links in data tables are clickable (the default). Set dku.feature.dataTableLinks.enabled=false (or security.disableDataTableLinks=true) to reduce phishing risk.</t>
  </si>
  <si>
    <t xml:space="preserve">ADVSEC-013</t>
  </si>
  <si>
    <t xml:space="preserve">Identity Integrity &amp; Impersonation Prevention</t>
  </si>
  <si>
    <t xml:space="preserve">Allowing DSS users to edit their display names and emails</t>
  </si>
  <si>
    <t xml:space="preserve">Since DSS 13.2.0, only administrators can edit users' display names and email addresses by default, specifically to prevent impersonation; enabling security.enableEmailAndDisplayNameModification (true) in general-settings.json lets users self-service these fields but also disables the ability for users to share assets (e.g., projects) via email invitations, so DSS should not have this enabled unless there is a specific, documented business need.</t>
  </si>
  <si>
    <t xml:space="preserve">general-settings.json &gt; security.enableEmailAndDisplayNameModification</t>
  </si>
  <si>
    <t xml:space="preserve">false (secure default) unless documented otherwise</t>
  </si>
  <si>
    <t xml:space="preserve">If true, email-invitation-based asset sharing (e.g., project sharing via email invite) is disabled as a side effect; enabling should only be done for a specific, documented business need.</t>
  </si>
  <si>
    <t xml:space="preserve">general-settings.json "security" object omits enableEmailAndDisplayNameModification or sets it to false, meaning only admins can edit user display names/emails (impersonation risk minimized).</t>
  </si>
  <si>
    <t xml:space="preserve">enableEmailAndDisplayNameModification is set to true without a documented business justification, allowing users to self-service edit their display name/email (impersonation risk, and email-invitation sharing disabled).</t>
  </si>
  <si>
    <t xml:space="preserve">If general-settings.json's security block is not present in the diagnosis, flag as needs_manual_review; the post-13.2.0 default (self-edit disabled) should be assumed absent evidence otherwise.</t>
  </si>
  <si>
    <t xml:space="preserve">This restriction (default since 13.2.0) helps prevent impersonation by DSS users; enabling self-edit trades that protection for convenience and disables the email-invitation sharing feature.</t>
  </si>
  <si>
    <t xml:space="preserve">general-settings.json, security settings, user identity, impersonation prevention, sharing</t>
  </si>
  <si>
    <t xml:space="preserve">Allowing DSS users to edit their display names and emails; Allowing DSS users to edit their display names and emails</t>
  </si>
  <si>
    <t xml:space="preserve">apps/dss/data_design/config/general-settings.json security.enableEmailAndDisplayNameModification=false.</t>
  </si>
  <si>
    <t xml:space="preserve">The secure default is kept: only admins can change display names and emails.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</si>
</sst>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1"/>
      <name val="Calibri"/>
      <family val="0"/>
      <charset val="1"/>
    </font>
    <font>
      <sz val="11"/>
      <name val="Calibri"/>
      <family val="0"/>
      <charset val="1"/>
    </font>
    <font>
      <b val="true"/>
      <sz val="12"/>
      <name val="Calibri"/>
      <family val="0"/>
      <charset val="1"/>
    </font>
    <font>
      <b val="true"/>
      <sz val="11"/>
      <name val="Cambria"/>
      <family val="0"/>
      <charset val="1"/>
    </font>
  </fonts>
  <fills count="9">
    <fill>
      <patternFill patternType="none"/>
    </fill>
    <fill>
      <patternFill patternType="gray125"/>
    </fill>
    <fill>
      <patternFill patternType="solid">
        <fgColor rgb="FFE8EEF7"/>
        <bgColor rgb="FFEDEDED"/>
      </patternFill>
    </fill>
    <fill>
      <patternFill patternType="solid">
        <fgColor rgb="FFC6EFCE"/>
        <bgColor rgb="FFDDEBF7"/>
      </patternFill>
    </fill>
    <fill>
      <patternFill patternType="solid">
        <fgColor rgb="FFFFC7CE"/>
        <bgColor rgb="FFFFEB9C"/>
      </patternFill>
    </fill>
    <fill>
      <patternFill patternType="solid">
        <fgColor rgb="FFFFEB9C"/>
        <bgColor rgb="FFFFF3CC"/>
      </patternFill>
    </fill>
    <fill>
      <patternFill patternType="solid">
        <fgColor rgb="FFDDEBF7"/>
        <bgColor rgb="FFE8EEF7"/>
      </patternFill>
    </fill>
    <fill>
      <patternFill patternType="solid">
        <fgColor rgb="FFEDEDED"/>
        <bgColor rgb="FFE8EEF7"/>
      </patternFill>
    </fill>
    <fill>
      <patternFill patternType="solid">
        <fgColor rgb="FFFFF3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7"/>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40"/>
    <col collapsed="false" customWidth="true" hidden="false" outlineLevel="0" max="4" min="4" style="0" width="16"/>
    <col collapsed="false" customWidth="true" hidden="false" outlineLevel="0" max="5" min="5" style="0" width="90"/>
    <col collapsed="false" customWidth="true" hidden="false" outlineLevel="0" max="6" min="6" style="0" width="16"/>
    <col collapsed="false" customWidth="true" hidden="false" outlineLevel="0" max="7" min="7" style="0" width="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2" customFormat="false" ht="15" hidden="false" customHeight="false" outlineLevel="0" collapsed="false">
      <c r="A12" s="4" t="s">
        <v>17</v>
      </c>
    </row>
    <row r="13" customFormat="false" ht="15" hidden="false" customHeight="false" outlineLevel="0" collapsed="false">
      <c r="A13" s="5" t="s">
        <v>18</v>
      </c>
      <c r="B13" s="5" t="s">
        <v>19</v>
      </c>
      <c r="C13" s="5" t="s">
        <v>20</v>
      </c>
      <c r="D13" s="5" t="s">
        <v>21</v>
      </c>
    </row>
    <row r="14" customFormat="false" ht="15" hidden="false" customHeight="false" outlineLevel="0" collapsed="false">
      <c r="A14" s="6" t="s">
        <v>22</v>
      </c>
      <c r="B14" s="7" t="n">
        <f aca="false">COUNTIF('Architecture, Compute &amp; Infrast'!V:V,$A14)+COUNTIF('Enterprise-grade Security, Perm'!V:V,$A14)+COUNTIF('Generative AI Acceleration &amp; In'!V:V,$A14)+COUNTIF('Scalable Performance, Stability'!V:V,$A14)+COUNTIF('Advanced Security Options (DSS '!V:V,$A14)</f>
        <v>15</v>
      </c>
      <c r="C14" s="7" t="n">
        <f aca="false">COUNTIFS('Architecture, Compute &amp; Infrast'!V:V,$A14,'Architecture, Compute &amp; Infrast'!B:B,"must_have")+COUNTIFS('Enterprise-grade Security, Perm'!V:V,$A14,'Enterprise-grade Security, Perm'!B:B,"must_have")+COUNTIFS('Generative AI Acceleration &amp; In'!V:V,$A14,'Generative AI Acceleration &amp; In'!B:B,"must_have")+COUNTIFS('Scalable Performance, Stability'!V:V,$A14,'Scalable Performance, Stability'!B:B,"must_have")+COUNTIFS('Advanced Security Options (DSS '!V:V,$A14,'Advanced Security Options (DSS '!B:B,"must_have")</f>
        <v>9</v>
      </c>
      <c r="D14" s="7" t="n">
        <f aca="false">COUNTIFS('Architecture, Compute &amp; Infrast'!V:V,$A14,'Architecture, Compute &amp; Infrast'!B:B,"nice_to_have")+COUNTIFS('Enterprise-grade Security, Perm'!V:V,$A14,'Enterprise-grade Security, Perm'!B:B,"nice_to_have")+COUNTIFS('Generative AI Acceleration &amp; In'!V:V,$A14,'Generative AI Acceleration &amp; In'!B:B,"nice_to_have")+COUNTIFS('Scalable Performance, Stability'!V:V,$A14,'Scalable Performance, Stability'!B:B,"nice_to_have")+COUNTIFS('Advanced Security Options (DSS '!V:V,$A14,'Advanced Security Options (DSS '!B:B,"nice_to_have")</f>
        <v>6</v>
      </c>
    </row>
    <row r="15" customFormat="false" ht="15" hidden="false" customHeight="false" outlineLevel="0" collapsed="false">
      <c r="A15" s="8" t="s">
        <v>23</v>
      </c>
      <c r="B15" s="7" t="n">
        <f aca="false">COUNTIF('Architecture, Compute &amp; Infrast'!V:V,$A15)+COUNTIF('Enterprise-grade Security, Perm'!V:V,$A15)+COUNTIF('Generative AI Acceleration &amp; In'!V:V,$A15)+COUNTIF('Scalable Performance, Stability'!V:V,$A15)+COUNTIF('Advanced Security Options (DSS '!V:V,$A15)</f>
        <v>21</v>
      </c>
      <c r="C15" s="7" t="n">
        <f aca="false">COUNTIFS('Architecture, Compute &amp; Infrast'!V:V,$A15,'Architecture, Compute &amp; Infrast'!B:B,"must_have")+COUNTIFS('Enterprise-grade Security, Perm'!V:V,$A15,'Enterprise-grade Security, Perm'!B:B,"must_have")+COUNTIFS('Generative AI Acceleration &amp; In'!V:V,$A15,'Generative AI Acceleration &amp; In'!B:B,"must_have")+COUNTIFS('Scalable Performance, Stability'!V:V,$A15,'Scalable Performance, Stability'!B:B,"must_have")+COUNTIFS('Advanced Security Options (DSS '!V:V,$A15,'Advanced Security Options (DSS '!B:B,"must_have")</f>
        <v>14</v>
      </c>
      <c r="D15" s="7" t="n">
        <f aca="false">COUNTIFS('Architecture, Compute &amp; Infrast'!V:V,$A15,'Architecture, Compute &amp; Infrast'!B:B,"nice_to_have")+COUNTIFS('Enterprise-grade Security, Perm'!V:V,$A15,'Enterprise-grade Security, Perm'!B:B,"nice_to_have")+COUNTIFS('Generative AI Acceleration &amp; In'!V:V,$A15,'Generative AI Acceleration &amp; In'!B:B,"nice_to_have")+COUNTIFS('Scalable Performance, Stability'!V:V,$A15,'Scalable Performance, Stability'!B:B,"nice_to_have")+COUNTIFS('Advanced Security Options (DSS '!V:V,$A15,'Advanced Security Options (DSS '!B:B,"nice_to_have")</f>
        <v>7</v>
      </c>
    </row>
    <row r="16" customFormat="false" ht="15" hidden="false" customHeight="false" outlineLevel="0" collapsed="false">
      <c r="A16" s="9" t="s">
        <v>24</v>
      </c>
      <c r="B16" s="7" t="n">
        <f aca="false">COUNTIF('Architecture, Compute &amp; Infrast'!V:V,$A16)+COUNTIF('Enterprise-grade Security, Perm'!V:V,$A16)+COUNTIF('Generative AI Acceleration &amp; In'!V:V,$A16)+COUNTIF('Scalable Performance, Stability'!V:V,$A16)+COUNTIF('Advanced Security Options (DSS '!V:V,$A16)</f>
        <v>8</v>
      </c>
      <c r="C16" s="7" t="n">
        <f aca="false">COUNTIFS('Architecture, Compute &amp; Infrast'!V:V,$A16,'Architecture, Compute &amp; Infrast'!B:B,"must_have")+COUNTIFS('Enterprise-grade Security, Perm'!V:V,$A16,'Enterprise-grade Security, Perm'!B:B,"must_have")+COUNTIFS('Generative AI Acceleration &amp; In'!V:V,$A16,'Generative AI Acceleration &amp; In'!B:B,"must_have")+COUNTIFS('Scalable Performance, Stability'!V:V,$A16,'Scalable Performance, Stability'!B:B,"must_have")+COUNTIFS('Advanced Security Options (DSS '!V:V,$A16,'Advanced Security Options (DSS '!B:B,"must_have")</f>
        <v>3</v>
      </c>
      <c r="D16" s="7" t="n">
        <f aca="false">COUNTIFS('Architecture, Compute &amp; Infrast'!V:V,$A16,'Architecture, Compute &amp; Infrast'!B:B,"nice_to_have")+COUNTIFS('Enterprise-grade Security, Perm'!V:V,$A16,'Enterprise-grade Security, Perm'!B:B,"nice_to_have")+COUNTIFS('Generative AI Acceleration &amp; In'!V:V,$A16,'Generative AI Acceleration &amp; In'!B:B,"nice_to_have")+COUNTIFS('Scalable Performance, Stability'!V:V,$A16,'Scalable Performance, Stability'!B:B,"nice_to_have")+COUNTIFS('Advanced Security Options (DSS '!V:V,$A16,'Advanced Security Options (DSS '!B:B,"nice_to_have")</f>
        <v>5</v>
      </c>
    </row>
    <row r="17" customFormat="false" ht="15" hidden="false" customHeight="false" outlineLevel="0" collapsed="false">
      <c r="A17" s="10" t="s">
        <v>25</v>
      </c>
      <c r="B17" s="7" t="n">
        <f aca="false">COUNTIF('Architecture, Compute &amp; Infrast'!V:V,$A17)+COUNTIF('Enterprise-grade Security, Perm'!V:V,$A17)+COUNTIF('Generative AI Acceleration &amp; In'!V:V,$A17)+COUNTIF('Scalable Performance, Stability'!V:V,$A17)+COUNTIF('Advanced Security Options (DSS '!V:V,$A17)</f>
        <v>12</v>
      </c>
      <c r="C17" s="7" t="n">
        <f aca="false">COUNTIFS('Architecture, Compute &amp; Infrast'!V:V,$A17,'Architecture, Compute &amp; Infrast'!B:B,"must_have")+COUNTIFS('Enterprise-grade Security, Perm'!V:V,$A17,'Enterprise-grade Security, Perm'!B:B,"must_have")+COUNTIFS('Generative AI Acceleration &amp; In'!V:V,$A17,'Generative AI Acceleration &amp; In'!B:B,"must_have")+COUNTIFS('Scalable Performance, Stability'!V:V,$A17,'Scalable Performance, Stability'!B:B,"must_have")+COUNTIFS('Advanced Security Options (DSS '!V:V,$A17,'Advanced Security Options (DSS '!B:B,"must_have")</f>
        <v>6</v>
      </c>
      <c r="D17" s="7" t="n">
        <f aca="false">COUNTIFS('Architecture, Compute &amp; Infrast'!V:V,$A17,'Architecture, Compute &amp; Infrast'!B:B,"nice_to_have")+COUNTIFS('Enterprise-grade Security, Perm'!V:V,$A17,'Enterprise-grade Security, Perm'!B:B,"nice_to_have")+COUNTIFS('Generative AI Acceleration &amp; In'!V:V,$A17,'Generative AI Acceleration &amp; In'!B:B,"nice_to_have")+COUNTIFS('Scalable Performance, Stability'!V:V,$A17,'Scalable Performance, Stability'!B:B,"nice_to_have")+COUNTIFS('Advanced Security Options (DSS '!V:V,$A17,'Advanced Security Options (DSS '!B:B,"nice_to_have")</f>
        <v>6</v>
      </c>
    </row>
    <row r="18" customFormat="false" ht="15" hidden="false" customHeight="false" outlineLevel="0" collapsed="false">
      <c r="A18" s="11" t="s">
        <v>26</v>
      </c>
      <c r="B18" s="7" t="n">
        <f aca="false">COUNTIF('Architecture, Compute &amp; Infrast'!V:V,$A18)+COUNTIF('Enterprise-grade Security, Perm'!V:V,$A18)+COUNTIF('Generative AI Acceleration &amp; In'!V:V,$A18)+COUNTIF('Scalable Performance, Stability'!V:V,$A18)+COUNTIF('Advanced Security Options (DSS '!V:V,$A18)</f>
        <v>11</v>
      </c>
      <c r="C18" s="7" t="n">
        <f aca="false">COUNTIFS('Architecture, Compute &amp; Infrast'!V:V,$A18,'Architecture, Compute &amp; Infrast'!B:B,"must_have")+COUNTIFS('Enterprise-grade Security, Perm'!V:V,$A18,'Enterprise-grade Security, Perm'!B:B,"must_have")+COUNTIFS('Generative AI Acceleration &amp; In'!V:V,$A18,'Generative AI Acceleration &amp; In'!B:B,"must_have")+COUNTIFS('Scalable Performance, Stability'!V:V,$A18,'Scalable Performance, Stability'!B:B,"must_have")+COUNTIFS('Advanced Security Options (DSS '!V:V,$A18,'Advanced Security Options (DSS '!B:B,"must_have")</f>
        <v>6</v>
      </c>
      <c r="D18" s="7" t="n">
        <f aca="false">COUNTIFS('Architecture, Compute &amp; Infrast'!V:V,$A18,'Architecture, Compute &amp; Infrast'!B:B,"nice_to_have")+COUNTIFS('Enterprise-grade Security, Perm'!V:V,$A18,'Enterprise-grade Security, Perm'!B:B,"nice_to_have")+COUNTIFS('Generative AI Acceleration &amp; In'!V:V,$A18,'Generative AI Acceleration &amp; In'!B:B,"nice_to_have")+COUNTIFS('Scalable Performance, Stability'!V:V,$A18,'Scalable Performance, Stability'!B:B,"nice_to_have")+COUNTIFS('Advanced Security Options (DSS '!V:V,$A18,'Advanced Security Options (DSS '!B:B,"nice_to_have")</f>
        <v>5</v>
      </c>
    </row>
    <row r="19" customFormat="false" ht="15" hidden="false" customHeight="false" outlineLevel="0" collapsed="false">
      <c r="A19" s="12" t="s">
        <v>27</v>
      </c>
      <c r="B19" s="12" t="n">
        <f aca="false">SUM(B14:B18)</f>
        <v>67</v>
      </c>
      <c r="C19" s="12" t="n">
        <f aca="false">SUM(C14:C18)</f>
        <v>38</v>
      </c>
      <c r="D19" s="12" t="n">
        <f aca="false">SUM(D14:D18)</f>
        <v>29</v>
      </c>
    </row>
    <row r="21" customFormat="false" ht="15" hidden="false" customHeight="false" outlineLevel="0" collapsed="false">
      <c r="A21" s="4" t="s">
        <v>28</v>
      </c>
    </row>
    <row r="22" customFormat="false" ht="15" hidden="false" customHeight="false" outlineLevel="0" collapsed="false">
      <c r="A22" s="5" t="s">
        <v>29</v>
      </c>
      <c r="B22" s="5" t="s">
        <v>22</v>
      </c>
      <c r="C22" s="5" t="s">
        <v>23</v>
      </c>
      <c r="D22" s="5" t="s">
        <v>24</v>
      </c>
      <c r="E22" s="5" t="s">
        <v>25</v>
      </c>
      <c r="F22" s="5" t="s">
        <v>26</v>
      </c>
      <c r="G22" s="5" t="s">
        <v>27</v>
      </c>
    </row>
    <row r="23" customFormat="false" ht="15" hidden="false" customHeight="false" outlineLevel="0" collapsed="false">
      <c r="A23" s="7" t="s">
        <v>30</v>
      </c>
      <c r="B23" s="7" t="n">
        <f aca="false">COUNTIF('Architecture, Compute &amp; Infrast'!V:V,"Pass")</f>
        <v>5</v>
      </c>
      <c r="C23" s="7" t="n">
        <f aca="false">COUNTIF('Architecture, Compute &amp; Infrast'!V:V,"Fail")</f>
        <v>2</v>
      </c>
      <c r="D23" s="7" t="n">
        <f aca="false">COUNTIF('Architecture, Compute &amp; Infrast'!V:V,"Partial")</f>
        <v>5</v>
      </c>
      <c r="E23" s="7" t="n">
        <f aca="false">COUNTIF('Architecture, Compute &amp; Infrast'!V:V,"Needs Review")</f>
        <v>5</v>
      </c>
      <c r="F23" s="7" t="n">
        <f aca="false">COUNTIF('Architecture, Compute &amp; Infrast'!V:V,"Not Applicable")</f>
        <v>0</v>
      </c>
      <c r="G23" s="7" t="n">
        <f aca="false">SUM(B23:F23)</f>
        <v>17</v>
      </c>
    </row>
    <row r="24" customFormat="false" ht="15" hidden="false" customHeight="false" outlineLevel="0" collapsed="false">
      <c r="A24" s="7" t="s">
        <v>31</v>
      </c>
      <c r="B24" s="7" t="n">
        <f aca="false">COUNTIF('Enterprise-grade Security, Perm'!V:V,"Pass")</f>
        <v>4</v>
      </c>
      <c r="C24" s="7" t="n">
        <f aca="false">COUNTIF('Enterprise-grade Security, Perm'!V:V,"Fail")</f>
        <v>0</v>
      </c>
      <c r="D24" s="7" t="n">
        <f aca="false">COUNTIF('Enterprise-grade Security, Perm'!V:V,"Partial")</f>
        <v>2</v>
      </c>
      <c r="E24" s="7" t="n">
        <f aca="false">COUNTIF('Enterprise-grade Security, Perm'!V:V,"Needs Review")</f>
        <v>3</v>
      </c>
      <c r="F24" s="7" t="n">
        <f aca="false">COUNTIF('Enterprise-grade Security, Perm'!V:V,"Not Applicable")</f>
        <v>1</v>
      </c>
      <c r="G24" s="7" t="n">
        <f aca="false">SUM(B24:F24)</f>
        <v>10</v>
      </c>
    </row>
    <row r="25" customFormat="false" ht="15" hidden="false" customHeight="false" outlineLevel="0" collapsed="false">
      <c r="A25" s="7" t="s">
        <v>32</v>
      </c>
      <c r="B25" s="7" t="n">
        <f aca="false">COUNTIF('Generative AI Acceleration &amp; In'!V:V,"Pass")</f>
        <v>1</v>
      </c>
      <c r="C25" s="7" t="n">
        <f aca="false">COUNTIF('Generative AI Acceleration &amp; In'!V:V,"Fail")</f>
        <v>1</v>
      </c>
      <c r="D25" s="7" t="n">
        <f aca="false">COUNTIF('Generative AI Acceleration &amp; In'!V:V,"Partial")</f>
        <v>0</v>
      </c>
      <c r="E25" s="7" t="n">
        <f aca="false">COUNTIF('Generative AI Acceleration &amp; In'!V:V,"Needs Review")</f>
        <v>1</v>
      </c>
      <c r="F25" s="7" t="n">
        <f aca="false">COUNTIF('Generative AI Acceleration &amp; In'!V:V,"Not Applicable")</f>
        <v>8</v>
      </c>
      <c r="G25" s="7" t="n">
        <f aca="false">SUM(B25:F25)</f>
        <v>11</v>
      </c>
    </row>
    <row r="26" customFormat="false" ht="15" hidden="false" customHeight="false" outlineLevel="0" collapsed="false">
      <c r="A26" s="7" t="s">
        <v>33</v>
      </c>
      <c r="B26" s="7" t="n">
        <f aca="false">COUNTIF('Scalable Performance, Stability'!V:V,"Pass")</f>
        <v>2</v>
      </c>
      <c r="C26" s="7" t="n">
        <f aca="false">COUNTIF('Scalable Performance, Stability'!V:V,"Fail")</f>
        <v>8</v>
      </c>
      <c r="D26" s="7" t="n">
        <f aca="false">COUNTIF('Scalable Performance, Stability'!V:V,"Partial")</f>
        <v>1</v>
      </c>
      <c r="E26" s="7" t="n">
        <f aca="false">COUNTIF('Scalable Performance, Stability'!V:V,"Needs Review")</f>
        <v>3</v>
      </c>
      <c r="F26" s="7" t="n">
        <f aca="false">COUNTIF('Scalable Performance, Stability'!V:V,"Not Applicable")</f>
        <v>2</v>
      </c>
      <c r="G26" s="7" t="n">
        <f aca="false">SUM(B26:F26)</f>
        <v>16</v>
      </c>
    </row>
    <row r="27" customFormat="false" ht="15" hidden="false" customHeight="false" outlineLevel="0" collapsed="false">
      <c r="A27" s="7" t="s">
        <v>34</v>
      </c>
      <c r="B27" s="7" t="n">
        <f aca="false">COUNTIF('Advanced Security Options (DSS '!V:V,"Pass")</f>
        <v>3</v>
      </c>
      <c r="C27" s="7" t="n">
        <f aca="false">COUNTIF('Advanced Security Options (DSS '!V:V,"Fail")</f>
        <v>10</v>
      </c>
      <c r="D27" s="7" t="n">
        <f aca="false">COUNTIF('Advanced Security Options (DSS '!V:V,"Partial")</f>
        <v>0</v>
      </c>
      <c r="E27" s="7" t="n">
        <f aca="false">COUNTIF('Advanced Security Options (DSS '!V:V,"Needs Review")</f>
        <v>0</v>
      </c>
      <c r="F27" s="7" t="n">
        <f aca="false">COUNTIF('Advanced Security Options (DSS '!V:V,"Not Applicable")</f>
        <v>0</v>
      </c>
      <c r="G27" s="7" t="n">
        <f aca="false">SUM(B27:F27)</f>
        <v>13</v>
      </c>
    </row>
    <row r="29" customFormat="false" ht="15" hidden="false" customHeight="false" outlineLevel="0" collapsed="false">
      <c r="A29" s="4" t="s">
        <v>35</v>
      </c>
    </row>
    <row r="30" customFormat="false" ht="15" hidden="false" customHeight="false" outlineLevel="0" collapsed="false">
      <c r="A30" s="5" t="s">
        <v>36</v>
      </c>
      <c r="B30" s="5" t="s">
        <v>29</v>
      </c>
      <c r="C30" s="5" t="s">
        <v>37</v>
      </c>
      <c r="D30" s="5" t="s">
        <v>18</v>
      </c>
      <c r="E30" s="5" t="s">
        <v>38</v>
      </c>
    </row>
    <row r="31" customFormat="false" ht="108.95" hidden="false" customHeight="false" outlineLevel="0" collapsed="false">
      <c r="A31" s="13" t="s">
        <v>39</v>
      </c>
      <c r="B31" s="13" t="s">
        <v>33</v>
      </c>
      <c r="C31" s="13" t="s">
        <v>40</v>
      </c>
      <c r="D31" s="14" t="s">
        <v>23</v>
      </c>
      <c r="E31" s="13" t="s">
        <v>41</v>
      </c>
    </row>
    <row r="32" customFormat="false" ht="41.75" hidden="false" customHeight="false" outlineLevel="0" collapsed="false">
      <c r="A32" s="13" t="s">
        <v>42</v>
      </c>
      <c r="B32" s="13" t="s">
        <v>33</v>
      </c>
      <c r="C32" s="13" t="s">
        <v>43</v>
      </c>
      <c r="D32" s="14" t="s">
        <v>23</v>
      </c>
      <c r="E32" s="13" t="s">
        <v>44</v>
      </c>
    </row>
    <row r="33" customFormat="false" ht="55.2" hidden="false" customHeight="false" outlineLevel="0" collapsed="false">
      <c r="A33" s="13" t="s">
        <v>45</v>
      </c>
      <c r="B33" s="13" t="s">
        <v>30</v>
      </c>
      <c r="C33" s="13" t="s">
        <v>46</v>
      </c>
      <c r="D33" s="14" t="s">
        <v>23</v>
      </c>
      <c r="E33" s="13" t="s">
        <v>47</v>
      </c>
    </row>
    <row r="34" customFormat="false" ht="68.65" hidden="false" customHeight="false" outlineLevel="0" collapsed="false">
      <c r="A34" s="13" t="s">
        <v>48</v>
      </c>
      <c r="B34" s="13" t="s">
        <v>33</v>
      </c>
      <c r="C34" s="13" t="s">
        <v>49</v>
      </c>
      <c r="D34" s="14" t="s">
        <v>23</v>
      </c>
      <c r="E34" s="13" t="s">
        <v>50</v>
      </c>
    </row>
    <row r="35" customFormat="false" ht="55.2" hidden="false" customHeight="false" outlineLevel="0" collapsed="false">
      <c r="A35" s="13" t="s">
        <v>51</v>
      </c>
      <c r="B35" s="13" t="s">
        <v>33</v>
      </c>
      <c r="C35" s="13" t="s">
        <v>52</v>
      </c>
      <c r="D35" s="14" t="s">
        <v>23</v>
      </c>
      <c r="E35" s="13" t="s">
        <v>53</v>
      </c>
    </row>
    <row r="36" customFormat="false" ht="55.2" hidden="false" customHeight="false" outlineLevel="0" collapsed="false">
      <c r="A36" s="13" t="s">
        <v>54</v>
      </c>
      <c r="B36" s="13" t="s">
        <v>33</v>
      </c>
      <c r="C36" s="13" t="s">
        <v>55</v>
      </c>
      <c r="D36" s="14" t="s">
        <v>23</v>
      </c>
      <c r="E36" s="13" t="s">
        <v>56</v>
      </c>
    </row>
    <row r="37" customFormat="false" ht="41.75" hidden="false" customHeight="false" outlineLevel="0" collapsed="false">
      <c r="A37" s="13" t="s">
        <v>57</v>
      </c>
      <c r="B37" s="13" t="s">
        <v>33</v>
      </c>
      <c r="C37" s="13" t="s">
        <v>58</v>
      </c>
      <c r="D37" s="14" t="s">
        <v>23</v>
      </c>
      <c r="E37" s="13" t="s">
        <v>59</v>
      </c>
    </row>
    <row r="38" customFormat="false" ht="41.75" hidden="false" customHeight="false" outlineLevel="0" collapsed="false">
      <c r="A38" s="13" t="s">
        <v>60</v>
      </c>
      <c r="B38" s="13" t="s">
        <v>33</v>
      </c>
      <c r="C38" s="13" t="s">
        <v>61</v>
      </c>
      <c r="D38" s="14" t="s">
        <v>23</v>
      </c>
      <c r="E38" s="13" t="s">
        <v>62</v>
      </c>
    </row>
    <row r="39" customFormat="false" ht="15" hidden="false" customHeight="false" outlineLevel="0" collapsed="false">
      <c r="A39" s="13" t="s">
        <v>63</v>
      </c>
      <c r="B39" s="13" t="s">
        <v>34</v>
      </c>
      <c r="C39" s="13" t="s">
        <v>64</v>
      </c>
      <c r="D39" s="14" t="s">
        <v>23</v>
      </c>
      <c r="E39" s="13" t="s">
        <v>65</v>
      </c>
    </row>
    <row r="40" customFormat="false" ht="28.35" hidden="false" customHeight="false" outlineLevel="0" collapsed="false">
      <c r="A40" s="13" t="s">
        <v>66</v>
      </c>
      <c r="B40" s="13" t="s">
        <v>34</v>
      </c>
      <c r="C40" s="13" t="s">
        <v>67</v>
      </c>
      <c r="D40" s="14" t="s">
        <v>23</v>
      </c>
      <c r="E40" s="13" t="s">
        <v>68</v>
      </c>
    </row>
    <row r="41" customFormat="false" ht="28.35" hidden="false" customHeight="false" outlineLevel="0" collapsed="false">
      <c r="A41" s="13" t="s">
        <v>69</v>
      </c>
      <c r="B41" s="13" t="s">
        <v>34</v>
      </c>
      <c r="C41" s="13" t="s">
        <v>70</v>
      </c>
      <c r="D41" s="14" t="s">
        <v>23</v>
      </c>
      <c r="E41" s="13" t="s">
        <v>71</v>
      </c>
    </row>
    <row r="42" customFormat="false" ht="28.35" hidden="false" customHeight="false" outlineLevel="0" collapsed="false">
      <c r="A42" s="13" t="s">
        <v>72</v>
      </c>
      <c r="B42" s="13" t="s">
        <v>34</v>
      </c>
      <c r="C42" s="13" t="s">
        <v>73</v>
      </c>
      <c r="D42" s="14" t="s">
        <v>23</v>
      </c>
      <c r="E42" s="13" t="s">
        <v>74</v>
      </c>
    </row>
    <row r="43" customFormat="false" ht="41.75" hidden="false" customHeight="false" outlineLevel="0" collapsed="false">
      <c r="A43" s="13" t="s">
        <v>75</v>
      </c>
      <c r="B43" s="13" t="s">
        <v>34</v>
      </c>
      <c r="C43" s="13" t="s">
        <v>76</v>
      </c>
      <c r="D43" s="14" t="s">
        <v>23</v>
      </c>
      <c r="E43" s="13" t="s">
        <v>77</v>
      </c>
    </row>
    <row r="44" customFormat="false" ht="41.75" hidden="false" customHeight="false" outlineLevel="0" collapsed="false">
      <c r="A44" s="13" t="s">
        <v>78</v>
      </c>
      <c r="B44" s="13" t="s">
        <v>32</v>
      </c>
      <c r="C44" s="13" t="s">
        <v>79</v>
      </c>
      <c r="D44" s="14" t="s">
        <v>23</v>
      </c>
      <c r="E44" s="13" t="s">
        <v>80</v>
      </c>
    </row>
    <row r="46" customFormat="false" ht="15" hidden="false" customHeight="false" outlineLevel="0" collapsed="false">
      <c r="A46" s="4" t="s">
        <v>81</v>
      </c>
    </row>
    <row r="47" customFormat="false" ht="15" hidden="false" customHeight="false" outlineLevel="0" collapsed="false">
      <c r="A47" s="5" t="s">
        <v>36</v>
      </c>
      <c r="B47" s="5" t="s">
        <v>29</v>
      </c>
      <c r="C47" s="5" t="s">
        <v>37</v>
      </c>
      <c r="D47" s="5" t="s">
        <v>18</v>
      </c>
      <c r="E47" s="5" t="s">
        <v>38</v>
      </c>
    </row>
    <row r="48" customFormat="false" ht="68.65" hidden="false" customHeight="false" outlineLevel="0" collapsed="false">
      <c r="A48" s="13" t="s">
        <v>82</v>
      </c>
      <c r="B48" s="13" t="s">
        <v>30</v>
      </c>
      <c r="C48" s="13" t="s">
        <v>83</v>
      </c>
      <c r="D48" s="15" t="s">
        <v>24</v>
      </c>
      <c r="E48" s="13" t="s">
        <v>84</v>
      </c>
    </row>
    <row r="49" customFormat="false" ht="28.35" hidden="false" customHeight="false" outlineLevel="0" collapsed="false">
      <c r="A49" s="13" t="s">
        <v>85</v>
      </c>
      <c r="B49" s="13" t="s">
        <v>30</v>
      </c>
      <c r="C49" s="13" t="s">
        <v>86</v>
      </c>
      <c r="D49" s="16" t="s">
        <v>25</v>
      </c>
      <c r="E49" s="13" t="s">
        <v>87</v>
      </c>
    </row>
    <row r="50" customFormat="false" ht="55.2" hidden="false" customHeight="false" outlineLevel="0" collapsed="false">
      <c r="A50" s="13" t="s">
        <v>88</v>
      </c>
      <c r="B50" s="13" t="s">
        <v>30</v>
      </c>
      <c r="C50" s="13" t="s">
        <v>89</v>
      </c>
      <c r="D50" s="16" t="s">
        <v>25</v>
      </c>
      <c r="E50" s="13" t="s">
        <v>90</v>
      </c>
    </row>
    <row r="51" customFormat="false" ht="55.2" hidden="false" customHeight="false" outlineLevel="0" collapsed="false">
      <c r="A51" s="13" t="s">
        <v>91</v>
      </c>
      <c r="B51" s="13" t="s">
        <v>30</v>
      </c>
      <c r="C51" s="13" t="s">
        <v>92</v>
      </c>
      <c r="D51" s="16" t="s">
        <v>25</v>
      </c>
      <c r="E51" s="13" t="s">
        <v>93</v>
      </c>
    </row>
    <row r="52" customFormat="false" ht="55.2" hidden="false" customHeight="false" outlineLevel="0" collapsed="false">
      <c r="A52" s="13" t="s">
        <v>94</v>
      </c>
      <c r="B52" s="13" t="s">
        <v>30</v>
      </c>
      <c r="C52" s="13" t="s">
        <v>95</v>
      </c>
      <c r="D52" s="16" t="s">
        <v>25</v>
      </c>
      <c r="E52" s="13" t="s">
        <v>96</v>
      </c>
    </row>
    <row r="53" customFormat="false" ht="55.2" hidden="false" customHeight="false" outlineLevel="0" collapsed="false">
      <c r="A53" s="13" t="s">
        <v>97</v>
      </c>
      <c r="B53" s="13" t="s">
        <v>30</v>
      </c>
      <c r="C53" s="13" t="s">
        <v>98</v>
      </c>
      <c r="D53" s="15" t="s">
        <v>24</v>
      </c>
      <c r="E53" s="13" t="s">
        <v>99</v>
      </c>
    </row>
    <row r="54" customFormat="false" ht="28.35" hidden="false" customHeight="false" outlineLevel="0" collapsed="false">
      <c r="A54" s="13" t="s">
        <v>100</v>
      </c>
      <c r="B54" s="13" t="s">
        <v>31</v>
      </c>
      <c r="C54" s="13" t="s">
        <v>101</v>
      </c>
      <c r="D54" s="16" t="s">
        <v>25</v>
      </c>
      <c r="E54" s="13" t="s">
        <v>102</v>
      </c>
    </row>
    <row r="55" customFormat="false" ht="55.2" hidden="false" customHeight="false" outlineLevel="0" collapsed="false">
      <c r="A55" s="13" t="s">
        <v>103</v>
      </c>
      <c r="B55" s="13" t="s">
        <v>31</v>
      </c>
      <c r="C55" s="13" t="s">
        <v>104</v>
      </c>
      <c r="D55" s="15" t="s">
        <v>24</v>
      </c>
      <c r="E55" s="13" t="s">
        <v>105</v>
      </c>
    </row>
    <row r="56" customFormat="false" ht="28.35" hidden="false" customHeight="false" outlineLevel="0" collapsed="false">
      <c r="A56" s="13" t="s">
        <v>106</v>
      </c>
      <c r="B56" s="13" t="s">
        <v>33</v>
      </c>
      <c r="C56" s="13" t="s">
        <v>107</v>
      </c>
      <c r="D56" s="16" t="s">
        <v>25</v>
      </c>
      <c r="E56" s="13" t="s">
        <v>108</v>
      </c>
    </row>
    <row r="58" customFormat="false" ht="15" hidden="false" customHeight="false" outlineLevel="0" collapsed="false">
      <c r="A58" s="4" t="s">
        <v>109</v>
      </c>
    </row>
    <row r="59" customFormat="false" ht="15" hidden="false" customHeight="false" outlineLevel="0" collapsed="false">
      <c r="A59" s="5" t="s">
        <v>110</v>
      </c>
      <c r="B59" s="5" t="s">
        <v>111</v>
      </c>
      <c r="C59" s="5" t="s">
        <v>112</v>
      </c>
      <c r="D59" s="5"/>
      <c r="E59" s="5" t="s">
        <v>113</v>
      </c>
    </row>
    <row r="60" customFormat="false" ht="55.2" hidden="false" customHeight="false" outlineLevel="0" collapsed="false">
      <c r="A60" s="13" t="s">
        <v>114</v>
      </c>
      <c r="B60" s="13" t="s">
        <v>115</v>
      </c>
      <c r="C60" s="13" t="s">
        <v>116</v>
      </c>
      <c r="D60" s="17"/>
      <c r="E60" s="13" t="s">
        <v>117</v>
      </c>
    </row>
    <row r="61" customFormat="false" ht="41.75" hidden="false" customHeight="false" outlineLevel="0" collapsed="false">
      <c r="A61" s="13" t="s">
        <v>118</v>
      </c>
      <c r="B61" s="13" t="s">
        <v>119</v>
      </c>
      <c r="C61" s="13" t="s">
        <v>120</v>
      </c>
      <c r="D61" s="17"/>
      <c r="E61" s="13" t="s">
        <v>121</v>
      </c>
    </row>
    <row r="62" customFormat="false" ht="28.35" hidden="false" customHeight="false" outlineLevel="0" collapsed="false">
      <c r="A62" s="13" t="s">
        <v>122</v>
      </c>
      <c r="B62" s="13" t="s">
        <v>123</v>
      </c>
      <c r="C62" s="13" t="s">
        <v>124</v>
      </c>
      <c r="D62" s="17"/>
      <c r="E62" s="13" t="s">
        <v>125</v>
      </c>
    </row>
    <row r="63" customFormat="false" ht="41.75" hidden="false" customHeight="false" outlineLevel="0" collapsed="false">
      <c r="A63" s="13" t="s">
        <v>126</v>
      </c>
      <c r="B63" s="13" t="s">
        <v>127</v>
      </c>
      <c r="C63" s="13" t="s">
        <v>128</v>
      </c>
      <c r="D63" s="17"/>
      <c r="E63" s="13" t="s">
        <v>129</v>
      </c>
    </row>
    <row r="64" customFormat="false" ht="41.75" hidden="false" customHeight="false" outlineLevel="0" collapsed="false">
      <c r="A64" s="13" t="s">
        <v>130</v>
      </c>
      <c r="B64" s="13" t="s">
        <v>131</v>
      </c>
      <c r="C64" s="13" t="s">
        <v>132</v>
      </c>
      <c r="D64" s="17"/>
      <c r="E64" s="13" t="s">
        <v>133</v>
      </c>
    </row>
    <row r="65" customFormat="false" ht="41.75" hidden="false" customHeight="false" outlineLevel="0" collapsed="false">
      <c r="A65" s="13" t="s">
        <v>134</v>
      </c>
      <c r="B65" s="13" t="s">
        <v>135</v>
      </c>
      <c r="C65" s="13" t="s">
        <v>136</v>
      </c>
      <c r="D65" s="17"/>
      <c r="E65" s="13" t="s">
        <v>137</v>
      </c>
    </row>
    <row r="66" customFormat="false" ht="28.35" hidden="false" customHeight="false" outlineLevel="0" collapsed="false">
      <c r="A66" s="13" t="s">
        <v>138</v>
      </c>
      <c r="B66" s="13" t="s">
        <v>139</v>
      </c>
      <c r="C66" s="13" t="s">
        <v>140</v>
      </c>
      <c r="D66" s="17"/>
      <c r="E66" s="13"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22"/>
    <col collapsed="false" customWidth="true" hidden="false" outlineLevel="0" max="5" min="5" style="0" width="28"/>
    <col collapsed="false" customWidth="true" hidden="false" outlineLevel="0" max="6" min="6" style="0" width="50"/>
    <col collapsed="false" customWidth="true" hidden="false" outlineLevel="0" max="7" min="7" style="0" width="30"/>
    <col collapsed="false" customWidth="true" hidden="false" outlineLevel="0" max="8" min="8" style="0" width="14"/>
    <col collapsed="false" customWidth="true" hidden="false" outlineLevel="0" max="9" min="9" style="0" width="20"/>
    <col collapsed="false" customWidth="true" hidden="false" outlineLevel="0" max="10" min="10" style="0" width="10"/>
    <col collapsed="false" customWidth="true" hidden="false" outlineLevel="0" max="11" min="11" style="0" width="50"/>
    <col collapsed="false" customWidth="true" hidden="false" outlineLevel="0" max="14" min="12" style="0" width="40"/>
    <col collapsed="false" customWidth="true" hidden="false" outlineLevel="0" max="15" min="15" style="0" width="36"/>
    <col collapsed="false" customWidth="true" hidden="false" outlineLevel="0" max="16" min="16" style="0" width="24"/>
    <col collapsed="false" customWidth="true" hidden="false" outlineLevel="0" max="17" min="17" style="0" width="18"/>
    <col collapsed="false" customWidth="true" hidden="false" outlineLevel="0" max="18" min="18" style="0" width="10"/>
    <col collapsed="false" customWidth="true" hidden="false" outlineLevel="0" max="19" min="19" style="0" width="24"/>
    <col collapsed="false" customWidth="true" hidden="false" outlineLevel="0" max="20" min="20" style="0" width="12"/>
    <col collapsed="false" customWidth="true" hidden="false" outlineLevel="0" max="21" min="21" style="0" width="40"/>
    <col collapsed="false" customWidth="true" hidden="false" outlineLevel="0" max="22" min="22" style="0" width="16"/>
    <col collapsed="false" customWidth="true" hidden="false" outlineLevel="0" max="24" min="23" style="0" width="70"/>
    <col collapsed="false" customWidth="true" hidden="false" outlineLevel="0" max="25" min="25" style="0" width="16"/>
    <col collapsed="false" customWidth="true" hidden="false" outlineLevel="0" max="26" min="26" style="0" width="30"/>
  </cols>
  <sheetData>
    <row r="1" customFormat="false" ht="15" hidden="false" customHeight="false" outlineLevel="0" collapsed="false">
      <c r="A1" s="18" t="s">
        <v>142</v>
      </c>
      <c r="B1" s="18" t="s">
        <v>143</v>
      </c>
      <c r="C1" s="18" t="s">
        <v>144</v>
      </c>
      <c r="D1" s="18" t="s">
        <v>145</v>
      </c>
      <c r="E1" s="18" t="s">
        <v>146</v>
      </c>
      <c r="F1" s="18" t="s">
        <v>147</v>
      </c>
      <c r="G1" s="18" t="s">
        <v>148</v>
      </c>
      <c r="H1" s="18" t="s">
        <v>149</v>
      </c>
      <c r="I1" s="18" t="s">
        <v>150</v>
      </c>
      <c r="J1" s="18" t="s">
        <v>151</v>
      </c>
      <c r="K1" s="18" t="s">
        <v>152</v>
      </c>
      <c r="L1" s="18" t="s">
        <v>153</v>
      </c>
      <c r="M1" s="18" t="s">
        <v>154</v>
      </c>
      <c r="N1" s="18" t="s">
        <v>155</v>
      </c>
      <c r="O1" s="18" t="s">
        <v>156</v>
      </c>
      <c r="P1" s="18" t="s">
        <v>157</v>
      </c>
      <c r="Q1" s="18" t="s">
        <v>158</v>
      </c>
      <c r="R1" s="18" t="s">
        <v>159</v>
      </c>
      <c r="S1" s="18" t="s">
        <v>160</v>
      </c>
      <c r="T1" s="18" t="s">
        <v>161</v>
      </c>
      <c r="U1" s="18" t="s">
        <v>162</v>
      </c>
      <c r="V1" s="19" t="s">
        <v>163</v>
      </c>
      <c r="W1" s="19" t="s">
        <v>164</v>
      </c>
      <c r="X1" s="19" t="s">
        <v>165</v>
      </c>
      <c r="Y1" s="19" t="s">
        <v>166</v>
      </c>
      <c r="Z1" s="19" t="s">
        <v>167</v>
      </c>
    </row>
    <row r="2" customFormat="false" ht="108.95" hidden="false" customHeight="false" outlineLevel="0" collapsed="false">
      <c r="A2" s="20" t="s">
        <v>82</v>
      </c>
      <c r="B2" s="20" t="s">
        <v>168</v>
      </c>
      <c r="C2" s="20" t="s">
        <v>169</v>
      </c>
      <c r="D2" s="20" t="s">
        <v>170</v>
      </c>
      <c r="E2" s="20" t="s">
        <v>83</v>
      </c>
      <c r="F2" s="20" t="s">
        <v>171</v>
      </c>
      <c r="G2" s="20"/>
      <c r="H2" s="20"/>
      <c r="I2" s="20"/>
      <c r="J2" s="20"/>
      <c r="K2" s="20"/>
      <c r="L2" s="20" t="s">
        <v>172</v>
      </c>
      <c r="M2" s="20" t="s">
        <v>173</v>
      </c>
      <c r="N2" s="20" t="s">
        <v>174</v>
      </c>
      <c r="O2" s="20" t="s">
        <v>175</v>
      </c>
      <c r="P2" s="20" t="s">
        <v>176</v>
      </c>
      <c r="Q2" s="20" t="s">
        <v>177</v>
      </c>
      <c r="R2" s="20" t="s">
        <v>178</v>
      </c>
      <c r="S2" s="20" t="s">
        <v>179</v>
      </c>
      <c r="T2" s="20" t="s">
        <v>180</v>
      </c>
      <c r="U2" s="20"/>
      <c r="V2" s="21" t="s">
        <v>24</v>
      </c>
      <c r="W2" s="20" t="s">
        <v>181</v>
      </c>
      <c r="X2" s="20" t="s">
        <v>84</v>
      </c>
      <c r="Y2" s="20" t="s">
        <v>14</v>
      </c>
      <c r="Z2" s="20" t="s">
        <v>16</v>
      </c>
    </row>
    <row r="3" customFormat="false" ht="82.05" hidden="false" customHeight="false" outlineLevel="0" collapsed="false">
      <c r="A3" s="20" t="s">
        <v>182</v>
      </c>
      <c r="B3" s="20" t="s">
        <v>183</v>
      </c>
      <c r="C3" s="20" t="s">
        <v>169</v>
      </c>
      <c r="D3" s="20" t="s">
        <v>184</v>
      </c>
      <c r="E3" s="20" t="s">
        <v>185</v>
      </c>
      <c r="F3" s="20" t="s">
        <v>186</v>
      </c>
      <c r="G3" s="20"/>
      <c r="H3" s="20"/>
      <c r="I3" s="20"/>
      <c r="J3" s="20"/>
      <c r="K3" s="20"/>
      <c r="L3" s="20" t="s">
        <v>187</v>
      </c>
      <c r="M3" s="20" t="s">
        <v>188</v>
      </c>
      <c r="N3" s="20" t="s">
        <v>189</v>
      </c>
      <c r="O3" s="20" t="s">
        <v>190</v>
      </c>
      <c r="P3" s="20" t="s">
        <v>191</v>
      </c>
      <c r="Q3" s="20" t="s">
        <v>177</v>
      </c>
      <c r="R3" s="20" t="s">
        <v>118</v>
      </c>
      <c r="S3" s="20" t="s">
        <v>192</v>
      </c>
      <c r="T3" s="20" t="s">
        <v>180</v>
      </c>
      <c r="U3" s="20"/>
      <c r="V3" s="22" t="s">
        <v>25</v>
      </c>
      <c r="W3" s="20" t="s">
        <v>193</v>
      </c>
      <c r="X3" s="20" t="s">
        <v>194</v>
      </c>
      <c r="Y3" s="20" t="s">
        <v>14</v>
      </c>
      <c r="Z3" s="20" t="s">
        <v>16</v>
      </c>
    </row>
    <row r="4" customFormat="false" ht="82.05" hidden="false" customHeight="false" outlineLevel="0" collapsed="false">
      <c r="A4" s="20" t="s">
        <v>195</v>
      </c>
      <c r="B4" s="20" t="s">
        <v>168</v>
      </c>
      <c r="C4" s="20" t="s">
        <v>169</v>
      </c>
      <c r="D4" s="20" t="s">
        <v>196</v>
      </c>
      <c r="E4" s="20" t="s">
        <v>197</v>
      </c>
      <c r="F4" s="20" t="s">
        <v>198</v>
      </c>
      <c r="G4" s="20"/>
      <c r="H4" s="20"/>
      <c r="I4" s="20"/>
      <c r="J4" s="20"/>
      <c r="K4" s="20"/>
      <c r="L4" s="20" t="s">
        <v>199</v>
      </c>
      <c r="M4" s="20" t="s">
        <v>200</v>
      </c>
      <c r="N4" s="20" t="s">
        <v>201</v>
      </c>
      <c r="O4" s="20" t="s">
        <v>202</v>
      </c>
      <c r="P4" s="20" t="s">
        <v>203</v>
      </c>
      <c r="Q4" s="20" t="s">
        <v>177</v>
      </c>
      <c r="R4" s="20" t="s">
        <v>118</v>
      </c>
      <c r="S4" s="20" t="s">
        <v>204</v>
      </c>
      <c r="T4" s="20" t="s">
        <v>205</v>
      </c>
      <c r="U4" s="20" t="s">
        <v>206</v>
      </c>
      <c r="V4" s="23" t="s">
        <v>22</v>
      </c>
      <c r="W4" s="20" t="s">
        <v>207</v>
      </c>
      <c r="X4" s="20" t="s">
        <v>208</v>
      </c>
      <c r="Y4" s="20" t="s">
        <v>14</v>
      </c>
      <c r="Z4" s="20" t="s">
        <v>16</v>
      </c>
    </row>
    <row r="5" customFormat="false" ht="108.95" hidden="false" customHeight="false" outlineLevel="0" collapsed="false">
      <c r="A5" s="20" t="s">
        <v>45</v>
      </c>
      <c r="B5" s="20" t="s">
        <v>168</v>
      </c>
      <c r="C5" s="20" t="s">
        <v>169</v>
      </c>
      <c r="D5" s="20" t="s">
        <v>209</v>
      </c>
      <c r="E5" s="20" t="s">
        <v>46</v>
      </c>
      <c r="F5" s="20" t="s">
        <v>210</v>
      </c>
      <c r="G5" s="20"/>
      <c r="H5" s="20"/>
      <c r="I5" s="20"/>
      <c r="J5" s="20"/>
      <c r="K5" s="20"/>
      <c r="L5" s="20" t="s">
        <v>211</v>
      </c>
      <c r="M5" s="20" t="s">
        <v>212</v>
      </c>
      <c r="N5" s="20" t="s">
        <v>213</v>
      </c>
      <c r="O5" s="20" t="s">
        <v>214</v>
      </c>
      <c r="P5" s="20" t="s">
        <v>215</v>
      </c>
      <c r="Q5" s="20" t="s">
        <v>177</v>
      </c>
      <c r="R5" s="20" t="s">
        <v>216</v>
      </c>
      <c r="S5" s="20" t="s">
        <v>217</v>
      </c>
      <c r="T5" s="20" t="s">
        <v>180</v>
      </c>
      <c r="U5" s="20"/>
      <c r="V5" s="24" t="s">
        <v>23</v>
      </c>
      <c r="W5" s="20" t="s">
        <v>218</v>
      </c>
      <c r="X5" s="20" t="s">
        <v>47</v>
      </c>
      <c r="Y5" s="20" t="s">
        <v>14</v>
      </c>
      <c r="Z5" s="20" t="s">
        <v>16</v>
      </c>
    </row>
    <row r="6" customFormat="false" ht="95.5" hidden="false" customHeight="false" outlineLevel="0" collapsed="false">
      <c r="A6" s="20" t="s">
        <v>219</v>
      </c>
      <c r="B6" s="20" t="s">
        <v>168</v>
      </c>
      <c r="C6" s="20" t="s">
        <v>220</v>
      </c>
      <c r="D6" s="20" t="s">
        <v>221</v>
      </c>
      <c r="E6" s="20" t="s">
        <v>222</v>
      </c>
      <c r="F6" s="20" t="s">
        <v>223</v>
      </c>
      <c r="G6" s="20" t="s">
        <v>224</v>
      </c>
      <c r="H6" s="20" t="s">
        <v>225</v>
      </c>
      <c r="I6" s="20" t="s">
        <v>226</v>
      </c>
      <c r="J6" s="20"/>
      <c r="K6" s="20" t="s">
        <v>227</v>
      </c>
      <c r="L6" s="20" t="s">
        <v>228</v>
      </c>
      <c r="M6" s="20" t="s">
        <v>229</v>
      </c>
      <c r="N6" s="20" t="s">
        <v>230</v>
      </c>
      <c r="O6" s="20" t="s">
        <v>231</v>
      </c>
      <c r="P6" s="20" t="s">
        <v>232</v>
      </c>
      <c r="Q6" s="20" t="s">
        <v>177</v>
      </c>
      <c r="R6" s="20" t="s">
        <v>233</v>
      </c>
      <c r="S6" s="20" t="s">
        <v>234</v>
      </c>
      <c r="T6" s="20" t="s">
        <v>180</v>
      </c>
      <c r="U6" s="20"/>
      <c r="V6" s="23" t="s">
        <v>22</v>
      </c>
      <c r="W6" s="20" t="s">
        <v>235</v>
      </c>
      <c r="X6" s="20" t="s">
        <v>236</v>
      </c>
      <c r="Y6" s="20" t="s">
        <v>14</v>
      </c>
      <c r="Z6" s="20" t="s">
        <v>16</v>
      </c>
    </row>
    <row r="7" customFormat="false" ht="350.7" hidden="false" customHeight="false" outlineLevel="0" collapsed="false">
      <c r="A7" s="20" t="s">
        <v>237</v>
      </c>
      <c r="B7" s="20" t="s">
        <v>183</v>
      </c>
      <c r="C7" s="20" t="s">
        <v>220</v>
      </c>
      <c r="D7" s="20" t="s">
        <v>221</v>
      </c>
      <c r="E7" s="20" t="s">
        <v>238</v>
      </c>
      <c r="F7" s="20" t="s">
        <v>239</v>
      </c>
      <c r="G7" s="20" t="s">
        <v>240</v>
      </c>
      <c r="H7" s="20" t="s">
        <v>241</v>
      </c>
      <c r="I7" s="20" t="s">
        <v>242</v>
      </c>
      <c r="J7" s="20"/>
      <c r="K7" s="20" t="s">
        <v>243</v>
      </c>
      <c r="L7" s="20" t="s">
        <v>244</v>
      </c>
      <c r="M7" s="20" t="s">
        <v>245</v>
      </c>
      <c r="N7" s="20" t="s">
        <v>246</v>
      </c>
      <c r="O7" s="20" t="s">
        <v>247</v>
      </c>
      <c r="P7" s="20" t="s">
        <v>248</v>
      </c>
      <c r="Q7" s="20" t="s">
        <v>177</v>
      </c>
      <c r="R7" s="20" t="s">
        <v>249</v>
      </c>
      <c r="S7" s="20" t="s">
        <v>250</v>
      </c>
      <c r="T7" s="20" t="s">
        <v>180</v>
      </c>
      <c r="U7" s="20"/>
      <c r="V7" s="24" t="s">
        <v>23</v>
      </c>
      <c r="W7" s="20" t="s">
        <v>251</v>
      </c>
      <c r="X7" s="20" t="s">
        <v>252</v>
      </c>
      <c r="Y7" s="20" t="s">
        <v>14</v>
      </c>
      <c r="Z7" s="20" t="s">
        <v>16</v>
      </c>
    </row>
    <row r="8" customFormat="false" ht="108.95" hidden="false" customHeight="false" outlineLevel="0" collapsed="false">
      <c r="A8" s="20" t="s">
        <v>253</v>
      </c>
      <c r="B8" s="20" t="s">
        <v>183</v>
      </c>
      <c r="C8" s="20" t="s">
        <v>220</v>
      </c>
      <c r="D8" s="20" t="s">
        <v>221</v>
      </c>
      <c r="E8" s="20" t="s">
        <v>254</v>
      </c>
      <c r="F8" s="20" t="s">
        <v>255</v>
      </c>
      <c r="G8" s="20" t="s">
        <v>256</v>
      </c>
      <c r="H8" s="20" t="s">
        <v>257</v>
      </c>
      <c r="I8" s="20" t="s">
        <v>258</v>
      </c>
      <c r="J8" s="20"/>
      <c r="K8" s="20" t="s">
        <v>259</v>
      </c>
      <c r="L8" s="20" t="s">
        <v>260</v>
      </c>
      <c r="M8" s="20" t="s">
        <v>261</v>
      </c>
      <c r="N8" s="20" t="s">
        <v>262</v>
      </c>
      <c r="O8" s="20" t="s">
        <v>263</v>
      </c>
      <c r="P8" s="20" t="s">
        <v>264</v>
      </c>
      <c r="Q8" s="20" t="s">
        <v>177</v>
      </c>
      <c r="R8" s="20" t="s">
        <v>130</v>
      </c>
      <c r="S8" s="20" t="s">
        <v>265</v>
      </c>
      <c r="T8" s="20" t="s">
        <v>205</v>
      </c>
      <c r="U8" s="20"/>
      <c r="V8" s="21" t="s">
        <v>24</v>
      </c>
      <c r="W8" s="20" t="s">
        <v>266</v>
      </c>
      <c r="X8" s="20" t="s">
        <v>267</v>
      </c>
      <c r="Y8" s="20" t="s">
        <v>14</v>
      </c>
      <c r="Z8" s="20" t="s">
        <v>16</v>
      </c>
    </row>
    <row r="9" customFormat="false" ht="82.05" hidden="false" customHeight="false" outlineLevel="0" collapsed="false">
      <c r="A9" s="20" t="s">
        <v>85</v>
      </c>
      <c r="B9" s="20" t="s">
        <v>168</v>
      </c>
      <c r="C9" s="20" t="s">
        <v>169</v>
      </c>
      <c r="D9" s="20" t="s">
        <v>268</v>
      </c>
      <c r="E9" s="20" t="s">
        <v>86</v>
      </c>
      <c r="F9" s="20" t="s">
        <v>269</v>
      </c>
      <c r="G9" s="20"/>
      <c r="H9" s="20"/>
      <c r="I9" s="20"/>
      <c r="J9" s="20"/>
      <c r="K9" s="20"/>
      <c r="L9" s="20" t="s">
        <v>270</v>
      </c>
      <c r="M9" s="20" t="s">
        <v>271</v>
      </c>
      <c r="N9" s="20" t="s">
        <v>272</v>
      </c>
      <c r="O9" s="20" t="s">
        <v>273</v>
      </c>
      <c r="P9" s="20" t="s">
        <v>274</v>
      </c>
      <c r="Q9" s="20" t="s">
        <v>177</v>
      </c>
      <c r="R9" s="20" t="s">
        <v>275</v>
      </c>
      <c r="S9" s="20" t="s">
        <v>276</v>
      </c>
      <c r="T9" s="20" t="s">
        <v>180</v>
      </c>
      <c r="U9" s="20"/>
      <c r="V9" s="22" t="s">
        <v>25</v>
      </c>
      <c r="W9" s="20" t="s">
        <v>277</v>
      </c>
      <c r="X9" s="20" t="s">
        <v>87</v>
      </c>
      <c r="Y9" s="20" t="s">
        <v>14</v>
      </c>
      <c r="Z9" s="20" t="s">
        <v>16</v>
      </c>
    </row>
    <row r="10" customFormat="false" ht="135.8" hidden="false" customHeight="false" outlineLevel="0" collapsed="false">
      <c r="A10" s="20" t="s">
        <v>88</v>
      </c>
      <c r="B10" s="20" t="s">
        <v>168</v>
      </c>
      <c r="C10" s="20" t="s">
        <v>169</v>
      </c>
      <c r="D10" s="20" t="s">
        <v>278</v>
      </c>
      <c r="E10" s="20" t="s">
        <v>89</v>
      </c>
      <c r="F10" s="20" t="s">
        <v>279</v>
      </c>
      <c r="G10" s="20"/>
      <c r="H10" s="20"/>
      <c r="I10" s="20"/>
      <c r="J10" s="20"/>
      <c r="K10" s="20"/>
      <c r="L10" s="20" t="s">
        <v>280</v>
      </c>
      <c r="M10" s="20" t="s">
        <v>281</v>
      </c>
      <c r="N10" s="20" t="s">
        <v>282</v>
      </c>
      <c r="O10" s="20" t="s">
        <v>283</v>
      </c>
      <c r="P10" s="20" t="s">
        <v>284</v>
      </c>
      <c r="Q10" s="20" t="s">
        <v>177</v>
      </c>
      <c r="R10" s="20" t="s">
        <v>138</v>
      </c>
      <c r="S10" s="20" t="s">
        <v>285</v>
      </c>
      <c r="T10" s="20" t="s">
        <v>180</v>
      </c>
      <c r="U10" s="20"/>
      <c r="V10" s="22" t="s">
        <v>25</v>
      </c>
      <c r="W10" s="20" t="s">
        <v>286</v>
      </c>
      <c r="X10" s="20" t="s">
        <v>90</v>
      </c>
      <c r="Y10" s="20" t="s">
        <v>14</v>
      </c>
      <c r="Z10" s="20" t="s">
        <v>16</v>
      </c>
    </row>
    <row r="11" customFormat="false" ht="95.5" hidden="false" customHeight="false" outlineLevel="0" collapsed="false">
      <c r="A11" s="20" t="s">
        <v>287</v>
      </c>
      <c r="B11" s="20" t="s">
        <v>168</v>
      </c>
      <c r="C11" s="20" t="s">
        <v>220</v>
      </c>
      <c r="D11" s="20" t="s">
        <v>288</v>
      </c>
      <c r="E11" s="20" t="s">
        <v>289</v>
      </c>
      <c r="F11" s="20" t="s">
        <v>290</v>
      </c>
      <c r="G11" s="20" t="s">
        <v>291</v>
      </c>
      <c r="H11" s="20" t="s">
        <v>225</v>
      </c>
      <c r="I11" s="20" t="s">
        <v>292</v>
      </c>
      <c r="J11" s="20"/>
      <c r="K11" s="20" t="s">
        <v>293</v>
      </c>
      <c r="L11" s="20" t="s">
        <v>294</v>
      </c>
      <c r="M11" s="20" t="s">
        <v>295</v>
      </c>
      <c r="N11" s="20" t="s">
        <v>296</v>
      </c>
      <c r="O11" s="20" t="s">
        <v>297</v>
      </c>
      <c r="P11" s="20" t="s">
        <v>298</v>
      </c>
      <c r="Q11" s="20" t="s">
        <v>177</v>
      </c>
      <c r="R11" s="20" t="s">
        <v>299</v>
      </c>
      <c r="S11" s="20" t="s">
        <v>300</v>
      </c>
      <c r="T11" s="20" t="s">
        <v>180</v>
      </c>
      <c r="U11" s="20"/>
      <c r="V11" s="23" t="s">
        <v>22</v>
      </c>
      <c r="W11" s="20" t="s">
        <v>301</v>
      </c>
      <c r="X11" s="20" t="s">
        <v>302</v>
      </c>
      <c r="Y11" s="20" t="s">
        <v>14</v>
      </c>
      <c r="Z11" s="20" t="s">
        <v>16</v>
      </c>
    </row>
    <row r="12" customFormat="false" ht="122.35" hidden="false" customHeight="false" outlineLevel="0" collapsed="false">
      <c r="A12" s="20" t="s">
        <v>303</v>
      </c>
      <c r="B12" s="20" t="s">
        <v>183</v>
      </c>
      <c r="C12" s="20" t="s">
        <v>220</v>
      </c>
      <c r="D12" s="20" t="s">
        <v>288</v>
      </c>
      <c r="E12" s="20" t="s">
        <v>304</v>
      </c>
      <c r="F12" s="20" t="s">
        <v>305</v>
      </c>
      <c r="G12" s="20" t="s">
        <v>306</v>
      </c>
      <c r="H12" s="20" t="s">
        <v>241</v>
      </c>
      <c r="I12" s="20" t="s">
        <v>307</v>
      </c>
      <c r="J12" s="20" t="s">
        <v>308</v>
      </c>
      <c r="K12" s="20" t="s">
        <v>309</v>
      </c>
      <c r="L12" s="20" t="s">
        <v>310</v>
      </c>
      <c r="M12" s="20" t="s">
        <v>311</v>
      </c>
      <c r="N12" s="20" t="s">
        <v>312</v>
      </c>
      <c r="O12" s="20" t="s">
        <v>313</v>
      </c>
      <c r="P12" s="20" t="s">
        <v>314</v>
      </c>
      <c r="Q12" s="20" t="s">
        <v>177</v>
      </c>
      <c r="R12" s="20" t="s">
        <v>315</v>
      </c>
      <c r="S12" s="20" t="s">
        <v>316</v>
      </c>
      <c r="T12" s="20" t="s">
        <v>180</v>
      </c>
      <c r="U12" s="20"/>
      <c r="V12" s="23" t="s">
        <v>22</v>
      </c>
      <c r="W12" s="20" t="s">
        <v>317</v>
      </c>
      <c r="X12" s="20" t="s">
        <v>318</v>
      </c>
      <c r="Y12" s="20" t="s">
        <v>14</v>
      </c>
      <c r="Z12" s="20" t="s">
        <v>16</v>
      </c>
    </row>
    <row r="13" customFormat="false" ht="108.95" hidden="false" customHeight="false" outlineLevel="0" collapsed="false">
      <c r="A13" s="20" t="s">
        <v>91</v>
      </c>
      <c r="B13" s="20" t="s">
        <v>168</v>
      </c>
      <c r="C13" s="20" t="s">
        <v>169</v>
      </c>
      <c r="D13" s="20" t="s">
        <v>319</v>
      </c>
      <c r="E13" s="20" t="s">
        <v>92</v>
      </c>
      <c r="F13" s="20" t="s">
        <v>320</v>
      </c>
      <c r="G13" s="20"/>
      <c r="H13" s="20"/>
      <c r="I13" s="20"/>
      <c r="J13" s="20"/>
      <c r="K13" s="20"/>
      <c r="L13" s="20" t="s">
        <v>321</v>
      </c>
      <c r="M13" s="20" t="s">
        <v>322</v>
      </c>
      <c r="N13" s="20" t="s">
        <v>323</v>
      </c>
      <c r="O13" s="20" t="s">
        <v>324</v>
      </c>
      <c r="P13" s="20" t="s">
        <v>325</v>
      </c>
      <c r="Q13" s="20" t="s">
        <v>177</v>
      </c>
      <c r="R13" s="20" t="s">
        <v>326</v>
      </c>
      <c r="S13" s="20" t="s">
        <v>327</v>
      </c>
      <c r="T13" s="20" t="s">
        <v>180</v>
      </c>
      <c r="U13" s="20"/>
      <c r="V13" s="22" t="s">
        <v>25</v>
      </c>
      <c r="W13" s="20" t="s">
        <v>328</v>
      </c>
      <c r="X13" s="20" t="s">
        <v>93</v>
      </c>
      <c r="Y13" s="20" t="s">
        <v>14</v>
      </c>
      <c r="Z13" s="20" t="s">
        <v>16</v>
      </c>
    </row>
    <row r="14" customFormat="false" ht="82.05" hidden="false" customHeight="false" outlineLevel="0" collapsed="false">
      <c r="A14" s="20" t="s">
        <v>329</v>
      </c>
      <c r="B14" s="20" t="s">
        <v>168</v>
      </c>
      <c r="C14" s="20" t="s">
        <v>220</v>
      </c>
      <c r="D14" s="20" t="s">
        <v>330</v>
      </c>
      <c r="E14" s="20" t="s">
        <v>331</v>
      </c>
      <c r="F14" s="20" t="s">
        <v>332</v>
      </c>
      <c r="G14" s="20" t="s">
        <v>333</v>
      </c>
      <c r="H14" s="20" t="s">
        <v>225</v>
      </c>
      <c r="I14" s="20" t="s">
        <v>334</v>
      </c>
      <c r="J14" s="20"/>
      <c r="K14" s="20"/>
      <c r="L14" s="20" t="s">
        <v>335</v>
      </c>
      <c r="M14" s="20" t="s">
        <v>336</v>
      </c>
      <c r="N14" s="20" t="s">
        <v>337</v>
      </c>
      <c r="O14" s="20" t="s">
        <v>338</v>
      </c>
      <c r="P14" s="20" t="s">
        <v>339</v>
      </c>
      <c r="Q14" s="20" t="s">
        <v>177</v>
      </c>
      <c r="R14" s="20" t="s">
        <v>340</v>
      </c>
      <c r="S14" s="20" t="s">
        <v>341</v>
      </c>
      <c r="T14" s="20" t="s">
        <v>180</v>
      </c>
      <c r="U14" s="20"/>
      <c r="V14" s="23" t="s">
        <v>22</v>
      </c>
      <c r="W14" s="20" t="s">
        <v>342</v>
      </c>
      <c r="X14" s="20" t="s">
        <v>343</v>
      </c>
      <c r="Y14" s="20" t="s">
        <v>14</v>
      </c>
      <c r="Z14" s="20" t="s">
        <v>16</v>
      </c>
    </row>
    <row r="15" customFormat="false" ht="108.95" hidden="false" customHeight="false" outlineLevel="0" collapsed="false">
      <c r="A15" s="20" t="s">
        <v>344</v>
      </c>
      <c r="B15" s="20" t="s">
        <v>183</v>
      </c>
      <c r="C15" s="20" t="s">
        <v>220</v>
      </c>
      <c r="D15" s="20" t="s">
        <v>330</v>
      </c>
      <c r="E15" s="20" t="s">
        <v>345</v>
      </c>
      <c r="F15" s="20" t="s">
        <v>346</v>
      </c>
      <c r="G15" s="20" t="s">
        <v>347</v>
      </c>
      <c r="H15" s="20" t="s">
        <v>257</v>
      </c>
      <c r="I15" s="20" t="s">
        <v>348</v>
      </c>
      <c r="J15" s="20"/>
      <c r="K15" s="20" t="s">
        <v>349</v>
      </c>
      <c r="L15" s="20" t="s">
        <v>350</v>
      </c>
      <c r="M15" s="20" t="s">
        <v>351</v>
      </c>
      <c r="N15" s="20" t="s">
        <v>352</v>
      </c>
      <c r="O15" s="20" t="s">
        <v>353</v>
      </c>
      <c r="P15" s="20" t="s">
        <v>354</v>
      </c>
      <c r="Q15" s="20" t="s">
        <v>177</v>
      </c>
      <c r="R15" s="20" t="s">
        <v>355</v>
      </c>
      <c r="S15" s="20" t="s">
        <v>356</v>
      </c>
      <c r="T15" s="20" t="s">
        <v>205</v>
      </c>
      <c r="U15" s="20"/>
      <c r="V15" s="21" t="s">
        <v>24</v>
      </c>
      <c r="W15" s="20" t="s">
        <v>357</v>
      </c>
      <c r="X15" s="20" t="s">
        <v>358</v>
      </c>
      <c r="Y15" s="20" t="s">
        <v>14</v>
      </c>
      <c r="Z15" s="20" t="s">
        <v>16</v>
      </c>
    </row>
    <row r="16" customFormat="false" ht="270.1" hidden="false" customHeight="false" outlineLevel="0" collapsed="false">
      <c r="A16" s="20" t="s">
        <v>94</v>
      </c>
      <c r="B16" s="20" t="s">
        <v>168</v>
      </c>
      <c r="C16" s="20" t="s">
        <v>220</v>
      </c>
      <c r="D16" s="20" t="s">
        <v>359</v>
      </c>
      <c r="E16" s="20" t="s">
        <v>95</v>
      </c>
      <c r="F16" s="20" t="s">
        <v>360</v>
      </c>
      <c r="G16" s="20" t="s">
        <v>361</v>
      </c>
      <c r="H16" s="20" t="s">
        <v>362</v>
      </c>
      <c r="I16" s="20" t="s">
        <v>363</v>
      </c>
      <c r="J16" s="20" t="s">
        <v>364</v>
      </c>
      <c r="K16" s="20" t="s">
        <v>365</v>
      </c>
      <c r="L16" s="20" t="s">
        <v>366</v>
      </c>
      <c r="M16" s="20" t="s">
        <v>367</v>
      </c>
      <c r="N16" s="20" t="s">
        <v>368</v>
      </c>
      <c r="O16" s="20" t="s">
        <v>369</v>
      </c>
      <c r="P16" s="20" t="s">
        <v>370</v>
      </c>
      <c r="Q16" s="20" t="s">
        <v>177</v>
      </c>
      <c r="R16" s="20" t="s">
        <v>371</v>
      </c>
      <c r="S16" s="20" t="s">
        <v>372</v>
      </c>
      <c r="T16" s="20" t="s">
        <v>180</v>
      </c>
      <c r="U16" s="20"/>
      <c r="V16" s="22" t="s">
        <v>25</v>
      </c>
      <c r="W16" s="20" t="s">
        <v>373</v>
      </c>
      <c r="X16" s="20" t="s">
        <v>96</v>
      </c>
      <c r="Y16" s="20" t="s">
        <v>14</v>
      </c>
      <c r="Z16" s="20" t="s">
        <v>16</v>
      </c>
    </row>
    <row r="17" customFormat="false" ht="122.35" hidden="false" customHeight="false" outlineLevel="0" collapsed="false">
      <c r="A17" s="20" t="s">
        <v>97</v>
      </c>
      <c r="B17" s="20" t="s">
        <v>168</v>
      </c>
      <c r="C17" s="20" t="s">
        <v>220</v>
      </c>
      <c r="D17" s="20" t="s">
        <v>374</v>
      </c>
      <c r="E17" s="20" t="s">
        <v>98</v>
      </c>
      <c r="F17" s="20" t="s">
        <v>375</v>
      </c>
      <c r="G17" s="20" t="s">
        <v>376</v>
      </c>
      <c r="H17" s="20" t="s">
        <v>225</v>
      </c>
      <c r="I17" s="20" t="s">
        <v>377</v>
      </c>
      <c r="J17" s="20"/>
      <c r="K17" s="20"/>
      <c r="L17" s="20" t="s">
        <v>378</v>
      </c>
      <c r="M17" s="20" t="s">
        <v>379</v>
      </c>
      <c r="N17" s="20" t="s">
        <v>380</v>
      </c>
      <c r="O17" s="20" t="s">
        <v>381</v>
      </c>
      <c r="P17" s="20" t="s">
        <v>382</v>
      </c>
      <c r="Q17" s="20" t="s">
        <v>177</v>
      </c>
      <c r="R17" s="20" t="s">
        <v>383</v>
      </c>
      <c r="S17" s="20" t="s">
        <v>384</v>
      </c>
      <c r="T17" s="20" t="s">
        <v>180</v>
      </c>
      <c r="U17" s="20"/>
      <c r="V17" s="21" t="s">
        <v>24</v>
      </c>
      <c r="W17" s="20" t="s">
        <v>385</v>
      </c>
      <c r="X17" s="20" t="s">
        <v>99</v>
      </c>
      <c r="Y17" s="20" t="s">
        <v>14</v>
      </c>
      <c r="Z17" s="20" t="s">
        <v>16</v>
      </c>
    </row>
    <row r="18" customFormat="false" ht="122.35" hidden="false" customHeight="false" outlineLevel="0" collapsed="false">
      <c r="A18" s="20" t="s">
        <v>386</v>
      </c>
      <c r="B18" s="20" t="s">
        <v>183</v>
      </c>
      <c r="C18" s="20" t="s">
        <v>220</v>
      </c>
      <c r="D18" s="20" t="s">
        <v>387</v>
      </c>
      <c r="E18" s="20" t="s">
        <v>388</v>
      </c>
      <c r="F18" s="20" t="s">
        <v>389</v>
      </c>
      <c r="G18" s="20" t="s">
        <v>390</v>
      </c>
      <c r="H18" s="20" t="s">
        <v>257</v>
      </c>
      <c r="I18" s="20" t="s">
        <v>391</v>
      </c>
      <c r="J18" s="20"/>
      <c r="K18" s="20"/>
      <c r="L18" s="20" t="s">
        <v>392</v>
      </c>
      <c r="M18" s="20" t="s">
        <v>393</v>
      </c>
      <c r="N18" s="20" t="s">
        <v>394</v>
      </c>
      <c r="O18" s="20" t="s">
        <v>395</v>
      </c>
      <c r="P18" s="20" t="s">
        <v>396</v>
      </c>
      <c r="Q18" s="20" t="s">
        <v>177</v>
      </c>
      <c r="R18" s="20" t="s">
        <v>397</v>
      </c>
      <c r="S18" s="20" t="s">
        <v>398</v>
      </c>
      <c r="T18" s="20" t="s">
        <v>180</v>
      </c>
      <c r="U18" s="20"/>
      <c r="V18" s="21" t="s">
        <v>24</v>
      </c>
      <c r="W18" s="20" t="s">
        <v>399</v>
      </c>
      <c r="X18" s="20" t="s">
        <v>400</v>
      </c>
      <c r="Y18" s="20" t="s">
        <v>14</v>
      </c>
      <c r="Z18" s="2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22"/>
    <col collapsed="false" customWidth="true" hidden="false" outlineLevel="0" max="5" min="5" style="0" width="28"/>
    <col collapsed="false" customWidth="true" hidden="false" outlineLevel="0" max="6" min="6" style="0" width="50"/>
    <col collapsed="false" customWidth="true" hidden="false" outlineLevel="0" max="7" min="7" style="0" width="30"/>
    <col collapsed="false" customWidth="true" hidden="false" outlineLevel="0" max="8" min="8" style="0" width="14"/>
    <col collapsed="false" customWidth="true" hidden="false" outlineLevel="0" max="9" min="9" style="0" width="20"/>
    <col collapsed="false" customWidth="true" hidden="false" outlineLevel="0" max="10" min="10" style="0" width="10"/>
    <col collapsed="false" customWidth="true" hidden="false" outlineLevel="0" max="11" min="11" style="0" width="50"/>
    <col collapsed="false" customWidth="true" hidden="false" outlineLevel="0" max="14" min="12" style="0" width="40"/>
    <col collapsed="false" customWidth="true" hidden="false" outlineLevel="0" max="15" min="15" style="0" width="36"/>
    <col collapsed="false" customWidth="true" hidden="false" outlineLevel="0" max="16" min="16" style="0" width="24"/>
    <col collapsed="false" customWidth="true" hidden="false" outlineLevel="0" max="17" min="17" style="0" width="18"/>
    <col collapsed="false" customWidth="true" hidden="false" outlineLevel="0" max="18" min="18" style="0" width="10"/>
    <col collapsed="false" customWidth="true" hidden="false" outlineLevel="0" max="19" min="19" style="0" width="24"/>
    <col collapsed="false" customWidth="true" hidden="false" outlineLevel="0" max="20" min="20" style="0" width="12"/>
    <col collapsed="false" customWidth="true" hidden="false" outlineLevel="0" max="21" min="21" style="0" width="40"/>
    <col collapsed="false" customWidth="true" hidden="false" outlineLevel="0" max="22" min="22" style="0" width="16"/>
    <col collapsed="false" customWidth="true" hidden="false" outlineLevel="0" max="24" min="23" style="0" width="70"/>
    <col collapsed="false" customWidth="true" hidden="false" outlineLevel="0" max="25" min="25" style="0" width="16"/>
    <col collapsed="false" customWidth="true" hidden="false" outlineLevel="0" max="26" min="26" style="0" width="30"/>
  </cols>
  <sheetData>
    <row r="1" customFormat="false" ht="15" hidden="false" customHeight="false" outlineLevel="0" collapsed="false">
      <c r="A1" s="18" t="s">
        <v>142</v>
      </c>
      <c r="B1" s="18" t="s">
        <v>143</v>
      </c>
      <c r="C1" s="18" t="s">
        <v>144</v>
      </c>
      <c r="D1" s="18" t="s">
        <v>145</v>
      </c>
      <c r="E1" s="18" t="s">
        <v>146</v>
      </c>
      <c r="F1" s="18" t="s">
        <v>147</v>
      </c>
      <c r="G1" s="18" t="s">
        <v>148</v>
      </c>
      <c r="H1" s="18" t="s">
        <v>149</v>
      </c>
      <c r="I1" s="18" t="s">
        <v>150</v>
      </c>
      <c r="J1" s="18" t="s">
        <v>151</v>
      </c>
      <c r="K1" s="18" t="s">
        <v>152</v>
      </c>
      <c r="L1" s="18" t="s">
        <v>153</v>
      </c>
      <c r="M1" s="18" t="s">
        <v>154</v>
      </c>
      <c r="N1" s="18" t="s">
        <v>155</v>
      </c>
      <c r="O1" s="18" t="s">
        <v>156</v>
      </c>
      <c r="P1" s="18" t="s">
        <v>157</v>
      </c>
      <c r="Q1" s="18" t="s">
        <v>158</v>
      </c>
      <c r="R1" s="18" t="s">
        <v>159</v>
      </c>
      <c r="S1" s="18" t="s">
        <v>160</v>
      </c>
      <c r="T1" s="18" t="s">
        <v>161</v>
      </c>
      <c r="U1" s="18" t="s">
        <v>162</v>
      </c>
      <c r="V1" s="19" t="s">
        <v>163</v>
      </c>
      <c r="W1" s="19" t="s">
        <v>164</v>
      </c>
      <c r="X1" s="19" t="s">
        <v>165</v>
      </c>
      <c r="Y1" s="19" t="s">
        <v>166</v>
      </c>
      <c r="Z1" s="19" t="s">
        <v>167</v>
      </c>
    </row>
    <row r="2" customFormat="false" ht="68.65" hidden="false" customHeight="false" outlineLevel="0" collapsed="false">
      <c r="A2" s="20" t="s">
        <v>401</v>
      </c>
      <c r="B2" s="20" t="s">
        <v>183</v>
      </c>
      <c r="C2" s="20" t="s">
        <v>169</v>
      </c>
      <c r="D2" s="20" t="s">
        <v>402</v>
      </c>
      <c r="E2" s="20" t="s">
        <v>403</v>
      </c>
      <c r="F2" s="20" t="s">
        <v>404</v>
      </c>
      <c r="G2" s="20"/>
      <c r="H2" s="20"/>
      <c r="I2" s="20"/>
      <c r="J2" s="20"/>
      <c r="K2" s="20"/>
      <c r="L2" s="20" t="s">
        <v>405</v>
      </c>
      <c r="M2" s="20" t="s">
        <v>406</v>
      </c>
      <c r="N2" s="20" t="s">
        <v>407</v>
      </c>
      <c r="O2" s="20" t="s">
        <v>408</v>
      </c>
      <c r="P2" s="20" t="s">
        <v>409</v>
      </c>
      <c r="Q2" s="20" t="s">
        <v>410</v>
      </c>
      <c r="R2" s="20" t="s">
        <v>178</v>
      </c>
      <c r="S2" s="20" t="s">
        <v>411</v>
      </c>
      <c r="T2" s="20" t="s">
        <v>205</v>
      </c>
      <c r="U2" s="20" t="s">
        <v>412</v>
      </c>
      <c r="V2" s="22" t="s">
        <v>25</v>
      </c>
      <c r="W2" s="20" t="s">
        <v>413</v>
      </c>
      <c r="X2" s="20" t="s">
        <v>414</v>
      </c>
      <c r="Y2" s="20" t="s">
        <v>14</v>
      </c>
      <c r="Z2" s="20" t="s">
        <v>16</v>
      </c>
    </row>
    <row r="3" customFormat="false" ht="122.35" hidden="false" customHeight="false" outlineLevel="0" collapsed="false">
      <c r="A3" s="20" t="s">
        <v>415</v>
      </c>
      <c r="B3" s="20" t="s">
        <v>168</v>
      </c>
      <c r="C3" s="20" t="s">
        <v>220</v>
      </c>
      <c r="D3" s="20" t="s">
        <v>416</v>
      </c>
      <c r="E3" s="20" t="s">
        <v>417</v>
      </c>
      <c r="F3" s="20" t="s">
        <v>418</v>
      </c>
      <c r="G3" s="20" t="s">
        <v>419</v>
      </c>
      <c r="H3" s="20" t="s">
        <v>257</v>
      </c>
      <c r="I3" s="20" t="s">
        <v>420</v>
      </c>
      <c r="J3" s="20"/>
      <c r="K3" s="20"/>
      <c r="L3" s="20" t="s">
        <v>421</v>
      </c>
      <c r="M3" s="20" t="s">
        <v>422</v>
      </c>
      <c r="N3" s="20" t="s">
        <v>423</v>
      </c>
      <c r="O3" s="20" t="s">
        <v>424</v>
      </c>
      <c r="P3" s="20" t="s">
        <v>425</v>
      </c>
      <c r="Q3" s="20" t="s">
        <v>410</v>
      </c>
      <c r="R3" s="20" t="s">
        <v>216</v>
      </c>
      <c r="S3" s="20" t="s">
        <v>426</v>
      </c>
      <c r="T3" s="20" t="s">
        <v>180</v>
      </c>
      <c r="U3" s="20"/>
      <c r="V3" s="23" t="s">
        <v>22</v>
      </c>
      <c r="W3" s="20" t="s">
        <v>427</v>
      </c>
      <c r="X3" s="20" t="s">
        <v>428</v>
      </c>
      <c r="Y3" s="20" t="s">
        <v>14</v>
      </c>
      <c r="Z3" s="20" t="s">
        <v>16</v>
      </c>
    </row>
    <row r="4" customFormat="false" ht="68.65" hidden="false" customHeight="false" outlineLevel="0" collapsed="false">
      <c r="A4" s="20" t="s">
        <v>100</v>
      </c>
      <c r="B4" s="20" t="s">
        <v>168</v>
      </c>
      <c r="C4" s="20" t="s">
        <v>220</v>
      </c>
      <c r="D4" s="20" t="s">
        <v>416</v>
      </c>
      <c r="E4" s="20" t="s">
        <v>101</v>
      </c>
      <c r="F4" s="20" t="s">
        <v>429</v>
      </c>
      <c r="G4" s="20" t="s">
        <v>430</v>
      </c>
      <c r="H4" s="20" t="s">
        <v>225</v>
      </c>
      <c r="I4" s="20" t="s">
        <v>431</v>
      </c>
      <c r="J4" s="20"/>
      <c r="K4" s="20" t="s">
        <v>432</v>
      </c>
      <c r="L4" s="20" t="s">
        <v>433</v>
      </c>
      <c r="M4" s="20" t="s">
        <v>434</v>
      </c>
      <c r="N4" s="20" t="s">
        <v>435</v>
      </c>
      <c r="O4" s="20" t="s">
        <v>436</v>
      </c>
      <c r="P4" s="20" t="s">
        <v>437</v>
      </c>
      <c r="Q4" s="20" t="s">
        <v>410</v>
      </c>
      <c r="R4" s="20" t="s">
        <v>122</v>
      </c>
      <c r="S4" s="20" t="s">
        <v>438</v>
      </c>
      <c r="T4" s="20" t="s">
        <v>205</v>
      </c>
      <c r="U4" s="20"/>
      <c r="V4" s="22" t="s">
        <v>25</v>
      </c>
      <c r="W4" s="20" t="s">
        <v>439</v>
      </c>
      <c r="X4" s="20" t="s">
        <v>102</v>
      </c>
      <c r="Y4" s="20" t="s">
        <v>14</v>
      </c>
      <c r="Z4" s="20" t="s">
        <v>16</v>
      </c>
    </row>
    <row r="5" customFormat="false" ht="162.65" hidden="false" customHeight="false" outlineLevel="0" collapsed="false">
      <c r="A5" s="20" t="s">
        <v>103</v>
      </c>
      <c r="B5" s="20" t="s">
        <v>168</v>
      </c>
      <c r="C5" s="20" t="s">
        <v>220</v>
      </c>
      <c r="D5" s="20" t="s">
        <v>440</v>
      </c>
      <c r="E5" s="20" t="s">
        <v>104</v>
      </c>
      <c r="F5" s="20" t="s">
        <v>441</v>
      </c>
      <c r="G5" s="20" t="s">
        <v>442</v>
      </c>
      <c r="H5" s="20" t="s">
        <v>257</v>
      </c>
      <c r="I5" s="20" t="s">
        <v>420</v>
      </c>
      <c r="J5" s="20"/>
      <c r="K5" s="20" t="s">
        <v>443</v>
      </c>
      <c r="L5" s="20" t="s">
        <v>444</v>
      </c>
      <c r="M5" s="20" t="s">
        <v>445</v>
      </c>
      <c r="N5" s="20" t="s">
        <v>446</v>
      </c>
      <c r="O5" s="20" t="s">
        <v>447</v>
      </c>
      <c r="P5" s="20" t="s">
        <v>448</v>
      </c>
      <c r="Q5" s="20" t="s">
        <v>410</v>
      </c>
      <c r="R5" s="20" t="s">
        <v>449</v>
      </c>
      <c r="S5" s="20" t="s">
        <v>450</v>
      </c>
      <c r="T5" s="20" t="s">
        <v>180</v>
      </c>
      <c r="U5" s="20"/>
      <c r="V5" s="21" t="s">
        <v>24</v>
      </c>
      <c r="W5" s="20" t="s">
        <v>451</v>
      </c>
      <c r="X5" s="20" t="s">
        <v>105</v>
      </c>
      <c r="Y5" s="20" t="s">
        <v>14</v>
      </c>
      <c r="Z5" s="20" t="s">
        <v>16</v>
      </c>
    </row>
    <row r="6" customFormat="false" ht="68.65" hidden="false" customHeight="false" outlineLevel="0" collapsed="false">
      <c r="A6" s="20" t="s">
        <v>452</v>
      </c>
      <c r="B6" s="20" t="s">
        <v>168</v>
      </c>
      <c r="C6" s="20" t="s">
        <v>220</v>
      </c>
      <c r="D6" s="20" t="s">
        <v>440</v>
      </c>
      <c r="E6" s="20" t="s">
        <v>453</v>
      </c>
      <c r="F6" s="20" t="s">
        <v>454</v>
      </c>
      <c r="G6" s="20" t="s">
        <v>455</v>
      </c>
      <c r="H6" s="20" t="s">
        <v>456</v>
      </c>
      <c r="I6" s="20" t="s">
        <v>457</v>
      </c>
      <c r="J6" s="20"/>
      <c r="K6" s="20" t="s">
        <v>458</v>
      </c>
      <c r="L6" s="20" t="s">
        <v>459</v>
      </c>
      <c r="M6" s="20" t="s">
        <v>460</v>
      </c>
      <c r="N6" s="20" t="s">
        <v>461</v>
      </c>
      <c r="O6" s="20" t="s">
        <v>462</v>
      </c>
      <c r="P6" s="20" t="s">
        <v>463</v>
      </c>
      <c r="Q6" s="20" t="s">
        <v>410</v>
      </c>
      <c r="R6" s="20" t="s">
        <v>126</v>
      </c>
      <c r="S6" s="20" t="s">
        <v>464</v>
      </c>
      <c r="T6" s="20" t="s">
        <v>205</v>
      </c>
      <c r="U6" s="20" t="s">
        <v>465</v>
      </c>
      <c r="V6" s="23" t="s">
        <v>22</v>
      </c>
      <c r="W6" s="20" t="s">
        <v>466</v>
      </c>
      <c r="X6" s="20" t="s">
        <v>467</v>
      </c>
      <c r="Y6" s="20" t="s">
        <v>14</v>
      </c>
      <c r="Z6" s="20" t="s">
        <v>16</v>
      </c>
    </row>
    <row r="7" customFormat="false" ht="82.05" hidden="false" customHeight="false" outlineLevel="0" collapsed="false">
      <c r="A7" s="20" t="s">
        <v>468</v>
      </c>
      <c r="B7" s="20" t="s">
        <v>183</v>
      </c>
      <c r="C7" s="20" t="s">
        <v>220</v>
      </c>
      <c r="D7" s="20" t="s">
        <v>469</v>
      </c>
      <c r="E7" s="20" t="s">
        <v>470</v>
      </c>
      <c r="F7" s="20" t="s">
        <v>471</v>
      </c>
      <c r="G7" s="20" t="s">
        <v>472</v>
      </c>
      <c r="H7" s="20" t="s">
        <v>225</v>
      </c>
      <c r="I7" s="20" t="s">
        <v>473</v>
      </c>
      <c r="J7" s="20"/>
      <c r="K7" s="20" t="s">
        <v>474</v>
      </c>
      <c r="L7" s="20" t="s">
        <v>475</v>
      </c>
      <c r="M7" s="20" t="s">
        <v>476</v>
      </c>
      <c r="N7" s="20" t="s">
        <v>477</v>
      </c>
      <c r="O7" s="20" t="s">
        <v>478</v>
      </c>
      <c r="P7" s="20" t="s">
        <v>479</v>
      </c>
      <c r="Q7" s="20" t="s">
        <v>410</v>
      </c>
      <c r="R7" s="20" t="s">
        <v>480</v>
      </c>
      <c r="S7" s="20" t="s">
        <v>481</v>
      </c>
      <c r="T7" s="20" t="s">
        <v>205</v>
      </c>
      <c r="U7" s="20"/>
      <c r="V7" s="23" t="s">
        <v>22</v>
      </c>
      <c r="W7" s="20" t="s">
        <v>482</v>
      </c>
      <c r="X7" s="20" t="s">
        <v>483</v>
      </c>
      <c r="Y7" s="20" t="s">
        <v>14</v>
      </c>
      <c r="Z7" s="20" t="s">
        <v>16</v>
      </c>
    </row>
    <row r="8" customFormat="false" ht="82.05" hidden="false" customHeight="false" outlineLevel="0" collapsed="false">
      <c r="A8" s="20" t="s">
        <v>484</v>
      </c>
      <c r="B8" s="20" t="s">
        <v>183</v>
      </c>
      <c r="C8" s="20" t="s">
        <v>169</v>
      </c>
      <c r="D8" s="20" t="s">
        <v>485</v>
      </c>
      <c r="E8" s="20" t="s">
        <v>486</v>
      </c>
      <c r="F8" s="20" t="s">
        <v>487</v>
      </c>
      <c r="G8" s="20"/>
      <c r="H8" s="20"/>
      <c r="I8" s="20"/>
      <c r="J8" s="20"/>
      <c r="K8" s="20"/>
      <c r="L8" s="20" t="s">
        <v>488</v>
      </c>
      <c r="M8" s="20" t="s">
        <v>489</v>
      </c>
      <c r="N8" s="20" t="s">
        <v>490</v>
      </c>
      <c r="O8" s="20" t="s">
        <v>491</v>
      </c>
      <c r="P8" s="20" t="s">
        <v>492</v>
      </c>
      <c r="Q8" s="20" t="s">
        <v>410</v>
      </c>
      <c r="R8" s="20" t="s">
        <v>138</v>
      </c>
      <c r="S8" s="20" t="s">
        <v>493</v>
      </c>
      <c r="T8" s="20" t="s">
        <v>494</v>
      </c>
      <c r="U8" s="20" t="s">
        <v>495</v>
      </c>
      <c r="V8" s="21" t="s">
        <v>24</v>
      </c>
      <c r="W8" s="20" t="s">
        <v>496</v>
      </c>
      <c r="X8" s="20" t="s">
        <v>497</v>
      </c>
      <c r="Y8" s="20" t="s">
        <v>14</v>
      </c>
      <c r="Z8" s="20" t="s">
        <v>16</v>
      </c>
    </row>
    <row r="9" customFormat="false" ht="95.5" hidden="false" customHeight="false" outlineLevel="0" collapsed="false">
      <c r="A9" s="20" t="s">
        <v>498</v>
      </c>
      <c r="B9" s="20" t="s">
        <v>183</v>
      </c>
      <c r="C9" s="20" t="s">
        <v>220</v>
      </c>
      <c r="D9" s="20" t="s">
        <v>499</v>
      </c>
      <c r="E9" s="20" t="s">
        <v>500</v>
      </c>
      <c r="F9" s="20" t="s">
        <v>501</v>
      </c>
      <c r="G9" s="20" t="s">
        <v>502</v>
      </c>
      <c r="H9" s="20" t="s">
        <v>225</v>
      </c>
      <c r="I9" s="20" t="s">
        <v>503</v>
      </c>
      <c r="J9" s="20"/>
      <c r="K9" s="20" t="s">
        <v>504</v>
      </c>
      <c r="L9" s="20" t="s">
        <v>505</v>
      </c>
      <c r="M9" s="20" t="s">
        <v>506</v>
      </c>
      <c r="N9" s="20" t="s">
        <v>507</v>
      </c>
      <c r="O9" s="20" t="s">
        <v>508</v>
      </c>
      <c r="P9" s="20" t="s">
        <v>509</v>
      </c>
      <c r="Q9" s="20" t="s">
        <v>410</v>
      </c>
      <c r="R9" s="20" t="s">
        <v>510</v>
      </c>
      <c r="S9" s="20" t="s">
        <v>511</v>
      </c>
      <c r="T9" s="20" t="s">
        <v>180</v>
      </c>
      <c r="U9" s="20"/>
      <c r="V9" s="25" t="s">
        <v>26</v>
      </c>
      <c r="W9" s="20" t="s">
        <v>512</v>
      </c>
      <c r="X9" s="20" t="s">
        <v>513</v>
      </c>
      <c r="Y9" s="20" t="s">
        <v>14</v>
      </c>
      <c r="Z9" s="20" t="s">
        <v>16</v>
      </c>
    </row>
    <row r="10" customFormat="false" ht="68.65" hidden="false" customHeight="false" outlineLevel="0" collapsed="false">
      <c r="A10" s="20" t="s">
        <v>514</v>
      </c>
      <c r="B10" s="20" t="s">
        <v>183</v>
      </c>
      <c r="C10" s="20" t="s">
        <v>169</v>
      </c>
      <c r="D10" s="20" t="s">
        <v>515</v>
      </c>
      <c r="E10" s="20" t="s">
        <v>516</v>
      </c>
      <c r="F10" s="20" t="s">
        <v>517</v>
      </c>
      <c r="G10" s="20"/>
      <c r="H10" s="20"/>
      <c r="I10" s="20"/>
      <c r="J10" s="20"/>
      <c r="K10" s="20"/>
      <c r="L10" s="20" t="s">
        <v>518</v>
      </c>
      <c r="M10" s="20" t="s">
        <v>519</v>
      </c>
      <c r="N10" s="20" t="s">
        <v>520</v>
      </c>
      <c r="O10" s="20" t="s">
        <v>521</v>
      </c>
      <c r="P10" s="20" t="s">
        <v>522</v>
      </c>
      <c r="Q10" s="20" t="s">
        <v>410</v>
      </c>
      <c r="R10" s="20" t="s">
        <v>299</v>
      </c>
      <c r="S10" s="20" t="s">
        <v>523</v>
      </c>
      <c r="T10" s="20" t="s">
        <v>494</v>
      </c>
      <c r="U10" s="20" t="s">
        <v>524</v>
      </c>
      <c r="V10" s="23" t="s">
        <v>22</v>
      </c>
      <c r="W10" s="20" t="s">
        <v>525</v>
      </c>
      <c r="X10" s="20" t="s">
        <v>526</v>
      </c>
      <c r="Y10" s="20" t="s">
        <v>14</v>
      </c>
      <c r="Z10" s="20" t="s">
        <v>16</v>
      </c>
    </row>
    <row r="11" customFormat="false" ht="68.65" hidden="false" customHeight="false" outlineLevel="0" collapsed="false">
      <c r="A11" s="20" t="s">
        <v>527</v>
      </c>
      <c r="B11" s="20" t="s">
        <v>183</v>
      </c>
      <c r="C11" s="20" t="s">
        <v>169</v>
      </c>
      <c r="D11" s="20" t="s">
        <v>528</v>
      </c>
      <c r="E11" s="20" t="s">
        <v>529</v>
      </c>
      <c r="F11" s="20" t="s">
        <v>530</v>
      </c>
      <c r="G11" s="20"/>
      <c r="H11" s="20"/>
      <c r="I11" s="20"/>
      <c r="J11" s="20"/>
      <c r="K11" s="20"/>
      <c r="L11" s="20" t="s">
        <v>531</v>
      </c>
      <c r="M11" s="20" t="s">
        <v>532</v>
      </c>
      <c r="N11" s="20" t="s">
        <v>533</v>
      </c>
      <c r="O11" s="20" t="s">
        <v>534</v>
      </c>
      <c r="P11" s="20" t="s">
        <v>535</v>
      </c>
      <c r="Q11" s="20" t="s">
        <v>410</v>
      </c>
      <c r="R11" s="20" t="s">
        <v>299</v>
      </c>
      <c r="S11" s="20" t="s">
        <v>536</v>
      </c>
      <c r="T11" s="20" t="s">
        <v>494</v>
      </c>
      <c r="U11" s="20" t="s">
        <v>537</v>
      </c>
      <c r="V11" s="22" t="s">
        <v>25</v>
      </c>
      <c r="W11" s="20" t="s">
        <v>538</v>
      </c>
      <c r="X11" s="20" t="s">
        <v>539</v>
      </c>
      <c r="Y11" s="20" t="s">
        <v>14</v>
      </c>
      <c r="Z11" s="2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22"/>
    <col collapsed="false" customWidth="true" hidden="false" outlineLevel="0" max="5" min="5" style="0" width="28"/>
    <col collapsed="false" customWidth="true" hidden="false" outlineLevel="0" max="6" min="6" style="0" width="50"/>
    <col collapsed="false" customWidth="true" hidden="false" outlineLevel="0" max="7" min="7" style="0" width="30"/>
    <col collapsed="false" customWidth="true" hidden="false" outlineLevel="0" max="8" min="8" style="0" width="14"/>
    <col collapsed="false" customWidth="true" hidden="false" outlineLevel="0" max="9" min="9" style="0" width="20"/>
    <col collapsed="false" customWidth="true" hidden="false" outlineLevel="0" max="10" min="10" style="0" width="10"/>
    <col collapsed="false" customWidth="true" hidden="false" outlineLevel="0" max="11" min="11" style="0" width="50"/>
    <col collapsed="false" customWidth="true" hidden="false" outlineLevel="0" max="14" min="12" style="0" width="40"/>
    <col collapsed="false" customWidth="true" hidden="false" outlineLevel="0" max="15" min="15" style="0" width="36"/>
    <col collapsed="false" customWidth="true" hidden="false" outlineLevel="0" max="16" min="16" style="0" width="24"/>
    <col collapsed="false" customWidth="true" hidden="false" outlineLevel="0" max="17" min="17" style="0" width="18"/>
    <col collapsed="false" customWidth="true" hidden="false" outlineLevel="0" max="18" min="18" style="0" width="10"/>
    <col collapsed="false" customWidth="true" hidden="false" outlineLevel="0" max="19" min="19" style="0" width="24"/>
    <col collapsed="false" customWidth="true" hidden="false" outlineLevel="0" max="20" min="20" style="0" width="12"/>
    <col collapsed="false" customWidth="true" hidden="false" outlineLevel="0" max="21" min="21" style="0" width="40"/>
    <col collapsed="false" customWidth="true" hidden="false" outlineLevel="0" max="22" min="22" style="0" width="16"/>
    <col collapsed="false" customWidth="true" hidden="false" outlineLevel="0" max="24" min="23" style="0" width="70"/>
    <col collapsed="false" customWidth="true" hidden="false" outlineLevel="0" max="25" min="25" style="0" width="16"/>
    <col collapsed="false" customWidth="true" hidden="false" outlineLevel="0" max="26" min="26" style="0" width="30"/>
  </cols>
  <sheetData>
    <row r="1" customFormat="false" ht="15" hidden="false" customHeight="false" outlineLevel="0" collapsed="false">
      <c r="A1" s="18" t="s">
        <v>142</v>
      </c>
      <c r="B1" s="18" t="s">
        <v>143</v>
      </c>
      <c r="C1" s="18" t="s">
        <v>144</v>
      </c>
      <c r="D1" s="18" t="s">
        <v>145</v>
      </c>
      <c r="E1" s="18" t="s">
        <v>146</v>
      </c>
      <c r="F1" s="18" t="s">
        <v>147</v>
      </c>
      <c r="G1" s="18" t="s">
        <v>148</v>
      </c>
      <c r="H1" s="18" t="s">
        <v>149</v>
      </c>
      <c r="I1" s="18" t="s">
        <v>150</v>
      </c>
      <c r="J1" s="18" t="s">
        <v>151</v>
      </c>
      <c r="K1" s="18" t="s">
        <v>152</v>
      </c>
      <c r="L1" s="18" t="s">
        <v>153</v>
      </c>
      <c r="M1" s="18" t="s">
        <v>154</v>
      </c>
      <c r="N1" s="18" t="s">
        <v>155</v>
      </c>
      <c r="O1" s="18" t="s">
        <v>156</v>
      </c>
      <c r="P1" s="18" t="s">
        <v>157</v>
      </c>
      <c r="Q1" s="18" t="s">
        <v>158</v>
      </c>
      <c r="R1" s="18" t="s">
        <v>159</v>
      </c>
      <c r="S1" s="18" t="s">
        <v>160</v>
      </c>
      <c r="T1" s="18" t="s">
        <v>161</v>
      </c>
      <c r="U1" s="18" t="s">
        <v>162</v>
      </c>
      <c r="V1" s="19" t="s">
        <v>163</v>
      </c>
      <c r="W1" s="19" t="s">
        <v>164</v>
      </c>
      <c r="X1" s="19" t="s">
        <v>165</v>
      </c>
      <c r="Y1" s="19" t="s">
        <v>166</v>
      </c>
      <c r="Z1" s="19" t="s">
        <v>167</v>
      </c>
    </row>
    <row r="2" customFormat="false" ht="108.95" hidden="false" customHeight="false" outlineLevel="0" collapsed="false">
      <c r="A2" s="20" t="s">
        <v>540</v>
      </c>
      <c r="B2" s="20" t="s">
        <v>168</v>
      </c>
      <c r="C2" s="20" t="s">
        <v>220</v>
      </c>
      <c r="D2" s="20" t="s">
        <v>541</v>
      </c>
      <c r="E2" s="20" t="s">
        <v>542</v>
      </c>
      <c r="F2" s="20" t="s">
        <v>543</v>
      </c>
      <c r="G2" s="20" t="s">
        <v>544</v>
      </c>
      <c r="H2" s="20" t="s">
        <v>456</v>
      </c>
      <c r="I2" s="20" t="s">
        <v>545</v>
      </c>
      <c r="J2" s="20"/>
      <c r="K2" s="20" t="s">
        <v>546</v>
      </c>
      <c r="L2" s="20" t="s">
        <v>547</v>
      </c>
      <c r="M2" s="20" t="s">
        <v>548</v>
      </c>
      <c r="N2" s="20" t="s">
        <v>549</v>
      </c>
      <c r="O2" s="20" t="s">
        <v>550</v>
      </c>
      <c r="P2" s="20" t="s">
        <v>551</v>
      </c>
      <c r="Q2" s="20" t="s">
        <v>552</v>
      </c>
      <c r="R2" s="20" t="s">
        <v>553</v>
      </c>
      <c r="S2" s="20" t="s">
        <v>554</v>
      </c>
      <c r="T2" s="20" t="s">
        <v>180</v>
      </c>
      <c r="U2" s="20"/>
      <c r="V2" s="23" t="s">
        <v>22</v>
      </c>
      <c r="W2" s="20" t="s">
        <v>555</v>
      </c>
      <c r="X2" s="20" t="s">
        <v>556</v>
      </c>
      <c r="Y2" s="20" t="s">
        <v>14</v>
      </c>
      <c r="Z2" s="20" t="s">
        <v>16</v>
      </c>
    </row>
    <row r="3" customFormat="false" ht="82.05" hidden="false" customHeight="false" outlineLevel="0" collapsed="false">
      <c r="A3" s="20" t="s">
        <v>557</v>
      </c>
      <c r="B3" s="20" t="s">
        <v>168</v>
      </c>
      <c r="C3" s="20" t="s">
        <v>220</v>
      </c>
      <c r="D3" s="20" t="s">
        <v>541</v>
      </c>
      <c r="E3" s="20" t="s">
        <v>558</v>
      </c>
      <c r="F3" s="20" t="s">
        <v>559</v>
      </c>
      <c r="G3" s="20" t="s">
        <v>560</v>
      </c>
      <c r="H3" s="20" t="s">
        <v>225</v>
      </c>
      <c r="I3" s="20" t="s">
        <v>561</v>
      </c>
      <c r="J3" s="20"/>
      <c r="K3" s="20" t="s">
        <v>562</v>
      </c>
      <c r="L3" s="20" t="s">
        <v>563</v>
      </c>
      <c r="M3" s="20" t="s">
        <v>564</v>
      </c>
      <c r="N3" s="20" t="s">
        <v>565</v>
      </c>
      <c r="O3" s="20" t="s">
        <v>566</v>
      </c>
      <c r="P3" s="20" t="s">
        <v>567</v>
      </c>
      <c r="Q3" s="20" t="s">
        <v>552</v>
      </c>
      <c r="R3" s="20" t="s">
        <v>122</v>
      </c>
      <c r="S3" s="20" t="s">
        <v>568</v>
      </c>
      <c r="T3" s="20" t="s">
        <v>205</v>
      </c>
      <c r="U3" s="20" t="s">
        <v>569</v>
      </c>
      <c r="V3" s="25" t="s">
        <v>26</v>
      </c>
      <c r="W3" s="20" t="s">
        <v>570</v>
      </c>
      <c r="X3" s="20" t="s">
        <v>571</v>
      </c>
      <c r="Y3" s="20" t="s">
        <v>14</v>
      </c>
      <c r="Z3" s="20" t="s">
        <v>16</v>
      </c>
    </row>
    <row r="4" customFormat="false" ht="68.65" hidden="false" customHeight="false" outlineLevel="0" collapsed="false">
      <c r="A4" s="20" t="s">
        <v>78</v>
      </c>
      <c r="B4" s="20" t="s">
        <v>168</v>
      </c>
      <c r="C4" s="20" t="s">
        <v>220</v>
      </c>
      <c r="D4" s="20" t="s">
        <v>572</v>
      </c>
      <c r="E4" s="20" t="s">
        <v>79</v>
      </c>
      <c r="F4" s="20" t="s">
        <v>573</v>
      </c>
      <c r="G4" s="20" t="s">
        <v>574</v>
      </c>
      <c r="H4" s="20" t="s">
        <v>225</v>
      </c>
      <c r="I4" s="20" t="s">
        <v>575</v>
      </c>
      <c r="J4" s="20"/>
      <c r="K4" s="20"/>
      <c r="L4" s="20" t="s">
        <v>576</v>
      </c>
      <c r="M4" s="20" t="s">
        <v>577</v>
      </c>
      <c r="N4" s="20" t="s">
        <v>578</v>
      </c>
      <c r="O4" s="20" t="s">
        <v>579</v>
      </c>
      <c r="P4" s="20" t="s">
        <v>580</v>
      </c>
      <c r="Q4" s="20" t="s">
        <v>552</v>
      </c>
      <c r="R4" s="20" t="s">
        <v>233</v>
      </c>
      <c r="S4" s="20" t="s">
        <v>581</v>
      </c>
      <c r="T4" s="20" t="s">
        <v>180</v>
      </c>
      <c r="U4" s="20"/>
      <c r="V4" s="24" t="s">
        <v>23</v>
      </c>
      <c r="W4" s="20" t="s">
        <v>582</v>
      </c>
      <c r="X4" s="20" t="s">
        <v>80</v>
      </c>
      <c r="Y4" s="20" t="s">
        <v>14</v>
      </c>
      <c r="Z4" s="20" t="s">
        <v>16</v>
      </c>
    </row>
    <row r="5" customFormat="false" ht="82.05" hidden="false" customHeight="false" outlineLevel="0" collapsed="false">
      <c r="A5" s="20" t="s">
        <v>583</v>
      </c>
      <c r="B5" s="20" t="s">
        <v>183</v>
      </c>
      <c r="C5" s="20" t="s">
        <v>220</v>
      </c>
      <c r="D5" s="20" t="s">
        <v>584</v>
      </c>
      <c r="E5" s="20" t="s">
        <v>585</v>
      </c>
      <c r="F5" s="20" t="s">
        <v>586</v>
      </c>
      <c r="G5" s="20" t="s">
        <v>587</v>
      </c>
      <c r="H5" s="20" t="s">
        <v>257</v>
      </c>
      <c r="I5" s="20" t="s">
        <v>420</v>
      </c>
      <c r="J5" s="20"/>
      <c r="K5" s="20" t="s">
        <v>588</v>
      </c>
      <c r="L5" s="20" t="s">
        <v>589</v>
      </c>
      <c r="M5" s="20" t="s">
        <v>590</v>
      </c>
      <c r="N5" s="20" t="s">
        <v>591</v>
      </c>
      <c r="O5" s="20"/>
      <c r="P5" s="20" t="s">
        <v>592</v>
      </c>
      <c r="Q5" s="20" t="s">
        <v>552</v>
      </c>
      <c r="R5" s="20" t="s">
        <v>249</v>
      </c>
      <c r="S5" s="20" t="s">
        <v>593</v>
      </c>
      <c r="T5" s="20" t="s">
        <v>180</v>
      </c>
      <c r="U5" s="20"/>
      <c r="V5" s="22" t="s">
        <v>25</v>
      </c>
      <c r="W5" s="20" t="s">
        <v>594</v>
      </c>
      <c r="X5" s="20" t="s">
        <v>595</v>
      </c>
      <c r="Y5" s="20" t="s">
        <v>14</v>
      </c>
      <c r="Z5" s="20" t="s">
        <v>16</v>
      </c>
    </row>
    <row r="6" customFormat="false" ht="55.2" hidden="false" customHeight="false" outlineLevel="0" collapsed="false">
      <c r="A6" s="20" t="s">
        <v>596</v>
      </c>
      <c r="B6" s="20" t="s">
        <v>168</v>
      </c>
      <c r="C6" s="20" t="s">
        <v>220</v>
      </c>
      <c r="D6" s="20" t="s">
        <v>597</v>
      </c>
      <c r="E6" s="20" t="s">
        <v>598</v>
      </c>
      <c r="F6" s="20" t="s">
        <v>599</v>
      </c>
      <c r="G6" s="20" t="s">
        <v>600</v>
      </c>
      <c r="H6" s="20" t="s">
        <v>225</v>
      </c>
      <c r="I6" s="20" t="s">
        <v>601</v>
      </c>
      <c r="J6" s="20"/>
      <c r="K6" s="20"/>
      <c r="L6" s="20" t="s">
        <v>602</v>
      </c>
      <c r="M6" s="20" t="s">
        <v>603</v>
      </c>
      <c r="N6" s="20" t="s">
        <v>604</v>
      </c>
      <c r="O6" s="20"/>
      <c r="P6" s="20" t="s">
        <v>605</v>
      </c>
      <c r="Q6" s="20" t="s">
        <v>552</v>
      </c>
      <c r="R6" s="20" t="s">
        <v>480</v>
      </c>
      <c r="S6" s="20" t="s">
        <v>606</v>
      </c>
      <c r="T6" s="20" t="s">
        <v>180</v>
      </c>
      <c r="U6" s="20"/>
      <c r="V6" s="25" t="s">
        <v>26</v>
      </c>
      <c r="W6" s="20" t="s">
        <v>607</v>
      </c>
      <c r="X6" s="20" t="s">
        <v>608</v>
      </c>
      <c r="Y6" s="20" t="s">
        <v>14</v>
      </c>
      <c r="Z6" s="20" t="s">
        <v>16</v>
      </c>
    </row>
    <row r="7" customFormat="false" ht="68.65" hidden="false" customHeight="false" outlineLevel="0" collapsed="false">
      <c r="A7" s="20" t="s">
        <v>609</v>
      </c>
      <c r="B7" s="20" t="s">
        <v>183</v>
      </c>
      <c r="C7" s="20" t="s">
        <v>220</v>
      </c>
      <c r="D7" s="20" t="s">
        <v>597</v>
      </c>
      <c r="E7" s="20" t="s">
        <v>610</v>
      </c>
      <c r="F7" s="20" t="s">
        <v>611</v>
      </c>
      <c r="G7" s="20" t="s">
        <v>612</v>
      </c>
      <c r="H7" s="20" t="s">
        <v>613</v>
      </c>
      <c r="I7" s="20" t="s">
        <v>614</v>
      </c>
      <c r="J7" s="20"/>
      <c r="K7" s="20" t="s">
        <v>615</v>
      </c>
      <c r="L7" s="20" t="s">
        <v>616</v>
      </c>
      <c r="M7" s="20" t="s">
        <v>617</v>
      </c>
      <c r="N7" s="20" t="s">
        <v>618</v>
      </c>
      <c r="O7" s="20" t="s">
        <v>619</v>
      </c>
      <c r="P7" s="20" t="s">
        <v>620</v>
      </c>
      <c r="Q7" s="20" t="s">
        <v>552</v>
      </c>
      <c r="R7" s="20" t="s">
        <v>621</v>
      </c>
      <c r="S7" s="20" t="s">
        <v>622</v>
      </c>
      <c r="T7" s="20" t="s">
        <v>205</v>
      </c>
      <c r="U7" s="20"/>
      <c r="V7" s="25" t="s">
        <v>26</v>
      </c>
      <c r="W7" s="20" t="s">
        <v>607</v>
      </c>
      <c r="X7" s="20" t="s">
        <v>623</v>
      </c>
      <c r="Y7" s="20" t="s">
        <v>14</v>
      </c>
      <c r="Z7" s="20" t="s">
        <v>16</v>
      </c>
    </row>
    <row r="8" customFormat="false" ht="95.5" hidden="false" customHeight="false" outlineLevel="0" collapsed="false">
      <c r="A8" s="20" t="s">
        <v>624</v>
      </c>
      <c r="B8" s="20" t="s">
        <v>168</v>
      </c>
      <c r="C8" s="20" t="s">
        <v>220</v>
      </c>
      <c r="D8" s="20" t="s">
        <v>625</v>
      </c>
      <c r="E8" s="20" t="s">
        <v>626</v>
      </c>
      <c r="F8" s="20" t="s">
        <v>627</v>
      </c>
      <c r="G8" s="20" t="s">
        <v>628</v>
      </c>
      <c r="H8" s="20" t="s">
        <v>225</v>
      </c>
      <c r="I8" s="20" t="s">
        <v>629</v>
      </c>
      <c r="J8" s="20"/>
      <c r="K8" s="20"/>
      <c r="L8" s="20" t="s">
        <v>630</v>
      </c>
      <c r="M8" s="20" t="s">
        <v>631</v>
      </c>
      <c r="N8" s="20" t="s">
        <v>632</v>
      </c>
      <c r="O8" s="20"/>
      <c r="P8" s="20" t="s">
        <v>633</v>
      </c>
      <c r="Q8" s="20" t="s">
        <v>552</v>
      </c>
      <c r="R8" s="20" t="s">
        <v>634</v>
      </c>
      <c r="S8" s="20" t="s">
        <v>635</v>
      </c>
      <c r="T8" s="20" t="s">
        <v>180</v>
      </c>
      <c r="U8" s="20"/>
      <c r="V8" s="25" t="s">
        <v>26</v>
      </c>
      <c r="W8" s="20" t="s">
        <v>636</v>
      </c>
      <c r="X8" s="20" t="s">
        <v>637</v>
      </c>
      <c r="Y8" s="20" t="s">
        <v>14</v>
      </c>
      <c r="Z8" s="20" t="s">
        <v>16</v>
      </c>
    </row>
    <row r="9" customFormat="false" ht="82.05" hidden="false" customHeight="false" outlineLevel="0" collapsed="false">
      <c r="A9" s="20" t="s">
        <v>638</v>
      </c>
      <c r="B9" s="20" t="s">
        <v>168</v>
      </c>
      <c r="C9" s="20" t="s">
        <v>169</v>
      </c>
      <c r="D9" s="20" t="s">
        <v>639</v>
      </c>
      <c r="E9" s="20" t="s">
        <v>640</v>
      </c>
      <c r="F9" s="20" t="s">
        <v>641</v>
      </c>
      <c r="G9" s="20"/>
      <c r="H9" s="20"/>
      <c r="I9" s="20"/>
      <c r="J9" s="20"/>
      <c r="K9" s="20"/>
      <c r="L9" s="20" t="s">
        <v>642</v>
      </c>
      <c r="M9" s="20" t="s">
        <v>643</v>
      </c>
      <c r="N9" s="20" t="s">
        <v>644</v>
      </c>
      <c r="O9" s="20" t="s">
        <v>645</v>
      </c>
      <c r="P9" s="20" t="s">
        <v>646</v>
      </c>
      <c r="Q9" s="20" t="s">
        <v>552</v>
      </c>
      <c r="R9" s="20" t="s">
        <v>647</v>
      </c>
      <c r="S9" s="20" t="s">
        <v>648</v>
      </c>
      <c r="T9" s="20" t="s">
        <v>494</v>
      </c>
      <c r="U9" s="20" t="s">
        <v>649</v>
      </c>
      <c r="V9" s="25" t="s">
        <v>26</v>
      </c>
      <c r="W9" s="20" t="s">
        <v>650</v>
      </c>
      <c r="X9" s="20" t="s">
        <v>651</v>
      </c>
      <c r="Y9" s="20" t="s">
        <v>14</v>
      </c>
      <c r="Z9" s="20" t="s">
        <v>16</v>
      </c>
    </row>
    <row r="10" customFormat="false" ht="95.5" hidden="false" customHeight="false" outlineLevel="0" collapsed="false">
      <c r="A10" s="20" t="s">
        <v>652</v>
      </c>
      <c r="B10" s="20" t="s">
        <v>183</v>
      </c>
      <c r="C10" s="20" t="s">
        <v>169</v>
      </c>
      <c r="D10" s="20" t="s">
        <v>653</v>
      </c>
      <c r="E10" s="20" t="s">
        <v>654</v>
      </c>
      <c r="F10" s="20" t="s">
        <v>655</v>
      </c>
      <c r="G10" s="20"/>
      <c r="H10" s="20"/>
      <c r="I10" s="20"/>
      <c r="J10" s="20"/>
      <c r="K10" s="20"/>
      <c r="L10" s="20" t="s">
        <v>656</v>
      </c>
      <c r="M10" s="20" t="s">
        <v>657</v>
      </c>
      <c r="N10" s="20" t="s">
        <v>658</v>
      </c>
      <c r="O10" s="20" t="s">
        <v>659</v>
      </c>
      <c r="P10" s="20" t="s">
        <v>660</v>
      </c>
      <c r="Q10" s="20" t="s">
        <v>552</v>
      </c>
      <c r="R10" s="20" t="s">
        <v>661</v>
      </c>
      <c r="S10" s="20" t="s">
        <v>662</v>
      </c>
      <c r="T10" s="20" t="s">
        <v>205</v>
      </c>
      <c r="U10" s="20" t="s">
        <v>663</v>
      </c>
      <c r="V10" s="25" t="s">
        <v>26</v>
      </c>
      <c r="W10" s="20" t="s">
        <v>664</v>
      </c>
      <c r="X10" s="20" t="s">
        <v>665</v>
      </c>
      <c r="Y10" s="20" t="s">
        <v>14</v>
      </c>
      <c r="Z10" s="20" t="s">
        <v>16</v>
      </c>
    </row>
    <row r="11" customFormat="false" ht="55.2" hidden="false" customHeight="false" outlineLevel="0" collapsed="false">
      <c r="A11" s="20" t="s">
        <v>666</v>
      </c>
      <c r="B11" s="20" t="s">
        <v>183</v>
      </c>
      <c r="C11" s="20" t="s">
        <v>169</v>
      </c>
      <c r="D11" s="20" t="s">
        <v>653</v>
      </c>
      <c r="E11" s="20" t="s">
        <v>667</v>
      </c>
      <c r="F11" s="20" t="s">
        <v>668</v>
      </c>
      <c r="G11" s="20"/>
      <c r="H11" s="20"/>
      <c r="I11" s="20"/>
      <c r="J11" s="20"/>
      <c r="K11" s="20"/>
      <c r="L11" s="20" t="s">
        <v>669</v>
      </c>
      <c r="M11" s="20" t="s">
        <v>670</v>
      </c>
      <c r="N11" s="20" t="s">
        <v>671</v>
      </c>
      <c r="O11" s="20" t="s">
        <v>672</v>
      </c>
      <c r="P11" s="20" t="s">
        <v>673</v>
      </c>
      <c r="Q11" s="20" t="s">
        <v>552</v>
      </c>
      <c r="R11" s="20" t="s">
        <v>674</v>
      </c>
      <c r="S11" s="20" t="s">
        <v>675</v>
      </c>
      <c r="T11" s="20" t="s">
        <v>205</v>
      </c>
      <c r="U11" s="20"/>
      <c r="V11" s="25" t="s">
        <v>26</v>
      </c>
      <c r="W11" s="20" t="s">
        <v>676</v>
      </c>
      <c r="X11" s="20" t="s">
        <v>677</v>
      </c>
      <c r="Y11" s="20" t="s">
        <v>14</v>
      </c>
      <c r="Z11" s="20" t="s">
        <v>16</v>
      </c>
    </row>
    <row r="12" customFormat="false" ht="82.05" hidden="false" customHeight="false" outlineLevel="0" collapsed="false">
      <c r="A12" s="20" t="s">
        <v>678</v>
      </c>
      <c r="B12" s="20" t="s">
        <v>183</v>
      </c>
      <c r="C12" s="20" t="s">
        <v>220</v>
      </c>
      <c r="D12" s="20" t="s">
        <v>653</v>
      </c>
      <c r="E12" s="20" t="s">
        <v>679</v>
      </c>
      <c r="F12" s="20" t="s">
        <v>680</v>
      </c>
      <c r="G12" s="20" t="s">
        <v>681</v>
      </c>
      <c r="H12" s="20" t="s">
        <v>613</v>
      </c>
      <c r="I12" s="20" t="s">
        <v>682</v>
      </c>
      <c r="J12" s="20"/>
      <c r="K12" s="20" t="s">
        <v>683</v>
      </c>
      <c r="L12" s="20" t="s">
        <v>684</v>
      </c>
      <c r="M12" s="20" t="s">
        <v>685</v>
      </c>
      <c r="N12" s="20" t="s">
        <v>686</v>
      </c>
      <c r="O12" s="20" t="s">
        <v>687</v>
      </c>
      <c r="P12" s="20" t="s">
        <v>688</v>
      </c>
      <c r="Q12" s="20" t="s">
        <v>552</v>
      </c>
      <c r="R12" s="20" t="s">
        <v>689</v>
      </c>
      <c r="S12" s="20" t="s">
        <v>690</v>
      </c>
      <c r="T12" s="20" t="s">
        <v>205</v>
      </c>
      <c r="U12" s="20"/>
      <c r="V12" s="25" t="s">
        <v>26</v>
      </c>
      <c r="W12" s="20" t="s">
        <v>676</v>
      </c>
      <c r="X12" s="20" t="s">
        <v>691</v>
      </c>
      <c r="Y12" s="20" t="s">
        <v>14</v>
      </c>
      <c r="Z12" s="2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22"/>
    <col collapsed="false" customWidth="true" hidden="false" outlineLevel="0" max="5" min="5" style="0" width="28"/>
    <col collapsed="false" customWidth="true" hidden="false" outlineLevel="0" max="6" min="6" style="0" width="50"/>
    <col collapsed="false" customWidth="true" hidden="false" outlineLevel="0" max="7" min="7" style="0" width="30"/>
    <col collapsed="false" customWidth="true" hidden="false" outlineLevel="0" max="8" min="8" style="0" width="14"/>
    <col collapsed="false" customWidth="true" hidden="false" outlineLevel="0" max="9" min="9" style="0" width="20"/>
    <col collapsed="false" customWidth="true" hidden="false" outlineLevel="0" max="10" min="10" style="0" width="10"/>
    <col collapsed="false" customWidth="true" hidden="false" outlineLevel="0" max="11" min="11" style="0" width="50"/>
    <col collapsed="false" customWidth="true" hidden="false" outlineLevel="0" max="14" min="12" style="0" width="40"/>
    <col collapsed="false" customWidth="true" hidden="false" outlineLevel="0" max="15" min="15" style="0" width="36"/>
    <col collapsed="false" customWidth="true" hidden="false" outlineLevel="0" max="16" min="16" style="0" width="24"/>
    <col collapsed="false" customWidth="true" hidden="false" outlineLevel="0" max="17" min="17" style="0" width="18"/>
    <col collapsed="false" customWidth="true" hidden="false" outlineLevel="0" max="18" min="18" style="0" width="10"/>
    <col collapsed="false" customWidth="true" hidden="false" outlineLevel="0" max="19" min="19" style="0" width="24"/>
    <col collapsed="false" customWidth="true" hidden="false" outlineLevel="0" max="20" min="20" style="0" width="12"/>
    <col collapsed="false" customWidth="true" hidden="false" outlineLevel="0" max="21" min="21" style="0" width="40"/>
    <col collapsed="false" customWidth="true" hidden="false" outlineLevel="0" max="22" min="22" style="0" width="16"/>
    <col collapsed="false" customWidth="true" hidden="false" outlineLevel="0" max="24" min="23" style="0" width="70"/>
    <col collapsed="false" customWidth="true" hidden="false" outlineLevel="0" max="25" min="25" style="0" width="16"/>
    <col collapsed="false" customWidth="true" hidden="false" outlineLevel="0" max="26" min="26" style="0" width="30"/>
  </cols>
  <sheetData>
    <row r="1" customFormat="false" ht="15" hidden="false" customHeight="false" outlineLevel="0" collapsed="false">
      <c r="A1" s="18" t="s">
        <v>142</v>
      </c>
      <c r="B1" s="18" t="s">
        <v>143</v>
      </c>
      <c r="C1" s="18" t="s">
        <v>144</v>
      </c>
      <c r="D1" s="18" t="s">
        <v>145</v>
      </c>
      <c r="E1" s="18" t="s">
        <v>146</v>
      </c>
      <c r="F1" s="18" t="s">
        <v>147</v>
      </c>
      <c r="G1" s="18" t="s">
        <v>148</v>
      </c>
      <c r="H1" s="18" t="s">
        <v>149</v>
      </c>
      <c r="I1" s="18" t="s">
        <v>150</v>
      </c>
      <c r="J1" s="18" t="s">
        <v>151</v>
      </c>
      <c r="K1" s="18" t="s">
        <v>152</v>
      </c>
      <c r="L1" s="18" t="s">
        <v>153</v>
      </c>
      <c r="M1" s="18" t="s">
        <v>154</v>
      </c>
      <c r="N1" s="18" t="s">
        <v>155</v>
      </c>
      <c r="O1" s="18" t="s">
        <v>156</v>
      </c>
      <c r="P1" s="18" t="s">
        <v>157</v>
      </c>
      <c r="Q1" s="18" t="s">
        <v>158</v>
      </c>
      <c r="R1" s="18" t="s">
        <v>159</v>
      </c>
      <c r="S1" s="18" t="s">
        <v>160</v>
      </c>
      <c r="T1" s="18" t="s">
        <v>161</v>
      </c>
      <c r="U1" s="18" t="s">
        <v>162</v>
      </c>
      <c r="V1" s="19" t="s">
        <v>163</v>
      </c>
      <c r="W1" s="19" t="s">
        <v>164</v>
      </c>
      <c r="X1" s="19" t="s">
        <v>165</v>
      </c>
      <c r="Y1" s="19" t="s">
        <v>166</v>
      </c>
      <c r="Z1" s="19" t="s">
        <v>167</v>
      </c>
    </row>
    <row r="2" customFormat="false" ht="82.05" hidden="false" customHeight="false" outlineLevel="0" collapsed="false">
      <c r="A2" s="20" t="s">
        <v>42</v>
      </c>
      <c r="B2" s="20" t="s">
        <v>168</v>
      </c>
      <c r="C2" s="20" t="s">
        <v>220</v>
      </c>
      <c r="D2" s="20" t="s">
        <v>692</v>
      </c>
      <c r="E2" s="20" t="s">
        <v>43</v>
      </c>
      <c r="F2" s="20" t="s">
        <v>693</v>
      </c>
      <c r="G2" s="20" t="s">
        <v>694</v>
      </c>
      <c r="H2" s="20" t="s">
        <v>257</v>
      </c>
      <c r="I2" s="20" t="s">
        <v>695</v>
      </c>
      <c r="J2" s="20"/>
      <c r="K2" s="20" t="s">
        <v>696</v>
      </c>
      <c r="L2" s="20" t="s">
        <v>697</v>
      </c>
      <c r="M2" s="20" t="s">
        <v>698</v>
      </c>
      <c r="N2" s="20" t="s">
        <v>699</v>
      </c>
      <c r="O2" s="20" t="s">
        <v>700</v>
      </c>
      <c r="P2" s="20" t="s">
        <v>701</v>
      </c>
      <c r="Q2" s="20" t="s">
        <v>702</v>
      </c>
      <c r="R2" s="20" t="s">
        <v>178</v>
      </c>
      <c r="S2" s="20" t="s">
        <v>703</v>
      </c>
      <c r="T2" s="20" t="s">
        <v>180</v>
      </c>
      <c r="U2" s="20"/>
      <c r="V2" s="24" t="s">
        <v>23</v>
      </c>
      <c r="W2" s="20" t="s">
        <v>704</v>
      </c>
      <c r="X2" s="20" t="s">
        <v>44</v>
      </c>
      <c r="Y2" s="20" t="s">
        <v>14</v>
      </c>
      <c r="Z2" s="20" t="s">
        <v>16</v>
      </c>
    </row>
    <row r="3" customFormat="false" ht="82.05" hidden="false" customHeight="false" outlineLevel="0" collapsed="false">
      <c r="A3" s="20" t="s">
        <v>705</v>
      </c>
      <c r="B3" s="20" t="s">
        <v>183</v>
      </c>
      <c r="C3" s="20" t="s">
        <v>220</v>
      </c>
      <c r="D3" s="20" t="s">
        <v>706</v>
      </c>
      <c r="E3" s="20" t="s">
        <v>707</v>
      </c>
      <c r="F3" s="20" t="s">
        <v>708</v>
      </c>
      <c r="G3" s="20" t="s">
        <v>709</v>
      </c>
      <c r="H3" s="20" t="s">
        <v>241</v>
      </c>
      <c r="I3" s="20" t="s">
        <v>710</v>
      </c>
      <c r="J3" s="20"/>
      <c r="K3" s="20" t="s">
        <v>711</v>
      </c>
      <c r="L3" s="20" t="s">
        <v>712</v>
      </c>
      <c r="M3" s="20" t="s">
        <v>713</v>
      </c>
      <c r="N3" s="20" t="s">
        <v>714</v>
      </c>
      <c r="O3" s="20" t="s">
        <v>715</v>
      </c>
      <c r="P3" s="20" t="s">
        <v>716</v>
      </c>
      <c r="Q3" s="20" t="s">
        <v>702</v>
      </c>
      <c r="R3" s="20" t="s">
        <v>216</v>
      </c>
      <c r="S3" s="20" t="s">
        <v>717</v>
      </c>
      <c r="T3" s="20" t="s">
        <v>205</v>
      </c>
      <c r="U3" s="20" t="s">
        <v>718</v>
      </c>
      <c r="V3" s="24" t="s">
        <v>23</v>
      </c>
      <c r="W3" s="20" t="s">
        <v>719</v>
      </c>
      <c r="X3" s="20" t="s">
        <v>720</v>
      </c>
      <c r="Y3" s="20" t="s">
        <v>14</v>
      </c>
      <c r="Z3" s="20" t="s">
        <v>16</v>
      </c>
    </row>
    <row r="4" customFormat="false" ht="55.2" hidden="false" customHeight="false" outlineLevel="0" collapsed="false">
      <c r="A4" s="20" t="s">
        <v>721</v>
      </c>
      <c r="B4" s="20" t="s">
        <v>183</v>
      </c>
      <c r="C4" s="20" t="s">
        <v>220</v>
      </c>
      <c r="D4" s="20" t="s">
        <v>722</v>
      </c>
      <c r="E4" s="20" t="s">
        <v>723</v>
      </c>
      <c r="F4" s="20" t="s">
        <v>724</v>
      </c>
      <c r="G4" s="20" t="s">
        <v>725</v>
      </c>
      <c r="H4" s="20" t="s">
        <v>257</v>
      </c>
      <c r="I4" s="20" t="s">
        <v>420</v>
      </c>
      <c r="J4" s="20"/>
      <c r="K4" s="20" t="s">
        <v>726</v>
      </c>
      <c r="L4" s="20" t="s">
        <v>727</v>
      </c>
      <c r="M4" s="20" t="s">
        <v>728</v>
      </c>
      <c r="N4" s="20" t="s">
        <v>729</v>
      </c>
      <c r="O4" s="20" t="s">
        <v>730</v>
      </c>
      <c r="P4" s="20" t="s">
        <v>731</v>
      </c>
      <c r="Q4" s="20" t="s">
        <v>702</v>
      </c>
      <c r="R4" s="20" t="s">
        <v>122</v>
      </c>
      <c r="S4" s="20" t="s">
        <v>732</v>
      </c>
      <c r="T4" s="20" t="s">
        <v>180</v>
      </c>
      <c r="U4" s="20"/>
      <c r="V4" s="22" t="s">
        <v>25</v>
      </c>
      <c r="W4" s="20" t="s">
        <v>733</v>
      </c>
      <c r="X4" s="20" t="s">
        <v>734</v>
      </c>
      <c r="Y4" s="20" t="s">
        <v>14</v>
      </c>
      <c r="Z4" s="20" t="s">
        <v>16</v>
      </c>
    </row>
    <row r="5" customFormat="false" ht="82.05" hidden="false" customHeight="false" outlineLevel="0" collapsed="false">
      <c r="A5" s="20" t="s">
        <v>51</v>
      </c>
      <c r="B5" s="20" t="s">
        <v>168</v>
      </c>
      <c r="C5" s="20" t="s">
        <v>169</v>
      </c>
      <c r="D5" s="20" t="s">
        <v>735</v>
      </c>
      <c r="E5" s="20" t="s">
        <v>52</v>
      </c>
      <c r="F5" s="20" t="s">
        <v>736</v>
      </c>
      <c r="G5" s="20"/>
      <c r="H5" s="20"/>
      <c r="I5" s="20"/>
      <c r="J5" s="20"/>
      <c r="K5" s="20"/>
      <c r="L5" s="20" t="s">
        <v>737</v>
      </c>
      <c r="M5" s="20" t="s">
        <v>738</v>
      </c>
      <c r="N5" s="20" t="s">
        <v>739</v>
      </c>
      <c r="O5" s="20" t="s">
        <v>740</v>
      </c>
      <c r="P5" s="20" t="s">
        <v>741</v>
      </c>
      <c r="Q5" s="20" t="s">
        <v>702</v>
      </c>
      <c r="R5" s="20" t="s">
        <v>233</v>
      </c>
      <c r="S5" s="20" t="s">
        <v>742</v>
      </c>
      <c r="T5" s="20" t="s">
        <v>205</v>
      </c>
      <c r="U5" s="20"/>
      <c r="V5" s="24" t="s">
        <v>23</v>
      </c>
      <c r="W5" s="20" t="s">
        <v>743</v>
      </c>
      <c r="X5" s="20" t="s">
        <v>53</v>
      </c>
      <c r="Y5" s="20" t="s">
        <v>14</v>
      </c>
      <c r="Z5" s="20" t="s">
        <v>16</v>
      </c>
    </row>
    <row r="6" customFormat="false" ht="68.65" hidden="false" customHeight="false" outlineLevel="0" collapsed="false">
      <c r="A6" s="20" t="s">
        <v>106</v>
      </c>
      <c r="B6" s="20" t="s">
        <v>168</v>
      </c>
      <c r="C6" s="20" t="s">
        <v>169</v>
      </c>
      <c r="D6" s="20" t="s">
        <v>744</v>
      </c>
      <c r="E6" s="20" t="s">
        <v>107</v>
      </c>
      <c r="F6" s="20" t="s">
        <v>745</v>
      </c>
      <c r="G6" s="20"/>
      <c r="H6" s="20"/>
      <c r="I6" s="20"/>
      <c r="J6" s="20"/>
      <c r="K6" s="20"/>
      <c r="L6" s="20" t="s">
        <v>746</v>
      </c>
      <c r="M6" s="20" t="s">
        <v>747</v>
      </c>
      <c r="N6" s="20" t="s">
        <v>748</v>
      </c>
      <c r="O6" s="20" t="s">
        <v>749</v>
      </c>
      <c r="P6" s="20" t="s">
        <v>750</v>
      </c>
      <c r="Q6" s="20" t="s">
        <v>702</v>
      </c>
      <c r="R6" s="20" t="s">
        <v>249</v>
      </c>
      <c r="S6" s="20" t="s">
        <v>751</v>
      </c>
      <c r="T6" s="20" t="s">
        <v>205</v>
      </c>
      <c r="U6" s="20"/>
      <c r="V6" s="22" t="s">
        <v>25</v>
      </c>
      <c r="W6" s="20" t="s">
        <v>752</v>
      </c>
      <c r="X6" s="20" t="s">
        <v>108</v>
      </c>
      <c r="Y6" s="20" t="s">
        <v>14</v>
      </c>
      <c r="Z6" s="20" t="s">
        <v>16</v>
      </c>
    </row>
    <row r="7" customFormat="false" ht="82.05" hidden="false" customHeight="false" outlineLevel="0" collapsed="false">
      <c r="A7" s="20" t="s">
        <v>753</v>
      </c>
      <c r="B7" s="20" t="s">
        <v>183</v>
      </c>
      <c r="C7" s="20" t="s">
        <v>169</v>
      </c>
      <c r="D7" s="20" t="s">
        <v>754</v>
      </c>
      <c r="E7" s="20" t="s">
        <v>755</v>
      </c>
      <c r="F7" s="20" t="s">
        <v>756</v>
      </c>
      <c r="G7" s="20"/>
      <c r="H7" s="20"/>
      <c r="I7" s="20"/>
      <c r="J7" s="20"/>
      <c r="K7" s="20"/>
      <c r="L7" s="20" t="s">
        <v>757</v>
      </c>
      <c r="M7" s="20" t="s">
        <v>758</v>
      </c>
      <c r="N7" s="20" t="s">
        <v>759</v>
      </c>
      <c r="O7" s="20" t="s">
        <v>760</v>
      </c>
      <c r="P7" s="20" t="s">
        <v>754</v>
      </c>
      <c r="Q7" s="20" t="s">
        <v>702</v>
      </c>
      <c r="R7" s="20" t="s">
        <v>480</v>
      </c>
      <c r="S7" s="20" t="s">
        <v>761</v>
      </c>
      <c r="T7" s="20" t="s">
        <v>205</v>
      </c>
      <c r="U7" s="20"/>
      <c r="V7" s="21" t="s">
        <v>24</v>
      </c>
      <c r="W7" s="20" t="s">
        <v>762</v>
      </c>
      <c r="X7" s="20" t="s">
        <v>763</v>
      </c>
      <c r="Y7" s="20" t="s">
        <v>14</v>
      </c>
      <c r="Z7" s="20" t="s">
        <v>16</v>
      </c>
    </row>
    <row r="8" customFormat="false" ht="122.35" hidden="false" customHeight="false" outlineLevel="0" collapsed="false">
      <c r="A8" s="20" t="s">
        <v>48</v>
      </c>
      <c r="B8" s="20" t="s">
        <v>168</v>
      </c>
      <c r="C8" s="20" t="s">
        <v>169</v>
      </c>
      <c r="D8" s="20" t="s">
        <v>764</v>
      </c>
      <c r="E8" s="20" t="s">
        <v>49</v>
      </c>
      <c r="F8" s="20" t="s">
        <v>765</v>
      </c>
      <c r="G8" s="20"/>
      <c r="H8" s="20"/>
      <c r="I8" s="20"/>
      <c r="J8" s="20"/>
      <c r="K8" s="20"/>
      <c r="L8" s="20" t="s">
        <v>766</v>
      </c>
      <c r="M8" s="20" t="s">
        <v>767</v>
      </c>
      <c r="N8" s="20" t="s">
        <v>768</v>
      </c>
      <c r="O8" s="20" t="s">
        <v>769</v>
      </c>
      <c r="P8" s="20" t="s">
        <v>770</v>
      </c>
      <c r="Q8" s="20" t="s">
        <v>702</v>
      </c>
      <c r="R8" s="20" t="s">
        <v>621</v>
      </c>
      <c r="S8" s="20" t="s">
        <v>771</v>
      </c>
      <c r="T8" s="20" t="s">
        <v>180</v>
      </c>
      <c r="U8" s="20"/>
      <c r="V8" s="24" t="s">
        <v>23</v>
      </c>
      <c r="W8" s="20" t="s">
        <v>772</v>
      </c>
      <c r="X8" s="20" t="s">
        <v>50</v>
      </c>
      <c r="Y8" s="20" t="s">
        <v>14</v>
      </c>
      <c r="Z8" s="20" t="s">
        <v>16</v>
      </c>
    </row>
    <row r="9" customFormat="false" ht="108.95" hidden="false" customHeight="false" outlineLevel="0" collapsed="false">
      <c r="A9" s="20" t="s">
        <v>773</v>
      </c>
      <c r="B9" s="20" t="s">
        <v>168</v>
      </c>
      <c r="C9" s="20" t="s">
        <v>220</v>
      </c>
      <c r="D9" s="20" t="s">
        <v>774</v>
      </c>
      <c r="E9" s="20" t="s">
        <v>775</v>
      </c>
      <c r="F9" s="20" t="s">
        <v>776</v>
      </c>
      <c r="G9" s="20" t="s">
        <v>777</v>
      </c>
      <c r="H9" s="20" t="s">
        <v>362</v>
      </c>
      <c r="I9" s="20" t="s">
        <v>778</v>
      </c>
      <c r="J9" s="20" t="s">
        <v>364</v>
      </c>
      <c r="K9" s="20" t="s">
        <v>779</v>
      </c>
      <c r="L9" s="20" t="s">
        <v>780</v>
      </c>
      <c r="M9" s="20" t="s">
        <v>781</v>
      </c>
      <c r="N9" s="20" t="s">
        <v>782</v>
      </c>
      <c r="O9" s="20" t="s">
        <v>783</v>
      </c>
      <c r="P9" s="20" t="s">
        <v>784</v>
      </c>
      <c r="Q9" s="20" t="s">
        <v>702</v>
      </c>
      <c r="R9" s="20" t="s">
        <v>510</v>
      </c>
      <c r="S9" s="20" t="s">
        <v>785</v>
      </c>
      <c r="T9" s="20" t="s">
        <v>180</v>
      </c>
      <c r="U9" s="20"/>
      <c r="V9" s="23" t="s">
        <v>22</v>
      </c>
      <c r="W9" s="20" t="s">
        <v>786</v>
      </c>
      <c r="X9" s="20" t="s">
        <v>787</v>
      </c>
      <c r="Y9" s="20" t="s">
        <v>14</v>
      </c>
      <c r="Z9" s="20" t="s">
        <v>16</v>
      </c>
    </row>
    <row r="10" customFormat="false" ht="135.8" hidden="false" customHeight="false" outlineLevel="0" collapsed="false">
      <c r="A10" s="20" t="s">
        <v>39</v>
      </c>
      <c r="B10" s="20" t="s">
        <v>168</v>
      </c>
      <c r="C10" s="20" t="s">
        <v>220</v>
      </c>
      <c r="D10" s="20" t="s">
        <v>788</v>
      </c>
      <c r="E10" s="20" t="s">
        <v>40</v>
      </c>
      <c r="F10" s="20" t="s">
        <v>789</v>
      </c>
      <c r="G10" s="20" t="s">
        <v>790</v>
      </c>
      <c r="H10" s="20" t="s">
        <v>613</v>
      </c>
      <c r="I10" s="20" t="s">
        <v>791</v>
      </c>
      <c r="J10" s="20"/>
      <c r="K10" s="20" t="s">
        <v>792</v>
      </c>
      <c r="L10" s="20" t="s">
        <v>793</v>
      </c>
      <c r="M10" s="20" t="s">
        <v>794</v>
      </c>
      <c r="N10" s="20" t="s">
        <v>795</v>
      </c>
      <c r="O10" s="20" t="s">
        <v>796</v>
      </c>
      <c r="P10" s="20" t="s">
        <v>797</v>
      </c>
      <c r="Q10" s="20" t="s">
        <v>702</v>
      </c>
      <c r="R10" s="20" t="s">
        <v>798</v>
      </c>
      <c r="S10" s="20" t="s">
        <v>799</v>
      </c>
      <c r="T10" s="20" t="s">
        <v>180</v>
      </c>
      <c r="U10" s="20"/>
      <c r="V10" s="24" t="s">
        <v>23</v>
      </c>
      <c r="W10" s="20" t="s">
        <v>800</v>
      </c>
      <c r="X10" s="20" t="s">
        <v>41</v>
      </c>
      <c r="Y10" s="20" t="s">
        <v>14</v>
      </c>
      <c r="Z10" s="20" t="s">
        <v>16</v>
      </c>
    </row>
    <row r="11" customFormat="false" ht="108.95" hidden="false" customHeight="false" outlineLevel="0" collapsed="false">
      <c r="A11" s="20" t="s">
        <v>801</v>
      </c>
      <c r="B11" s="20" t="s">
        <v>183</v>
      </c>
      <c r="C11" s="20" t="s">
        <v>220</v>
      </c>
      <c r="D11" s="20" t="s">
        <v>802</v>
      </c>
      <c r="E11" s="20" t="s">
        <v>803</v>
      </c>
      <c r="F11" s="20" t="s">
        <v>804</v>
      </c>
      <c r="G11" s="20" t="s">
        <v>805</v>
      </c>
      <c r="H11" s="20" t="s">
        <v>257</v>
      </c>
      <c r="I11" s="20" t="s">
        <v>806</v>
      </c>
      <c r="J11" s="20"/>
      <c r="K11" s="20" t="s">
        <v>807</v>
      </c>
      <c r="L11" s="20" t="s">
        <v>808</v>
      </c>
      <c r="M11" s="20" t="s">
        <v>809</v>
      </c>
      <c r="N11" s="20" t="s">
        <v>810</v>
      </c>
      <c r="O11" s="20" t="s">
        <v>811</v>
      </c>
      <c r="P11" s="20" t="s">
        <v>812</v>
      </c>
      <c r="Q11" s="20" t="s">
        <v>702</v>
      </c>
      <c r="R11" s="20" t="s">
        <v>813</v>
      </c>
      <c r="S11" s="20" t="s">
        <v>814</v>
      </c>
      <c r="T11" s="20" t="s">
        <v>205</v>
      </c>
      <c r="U11" s="20" t="s">
        <v>815</v>
      </c>
      <c r="V11" s="23" t="s">
        <v>22</v>
      </c>
      <c r="W11" s="20" t="s">
        <v>816</v>
      </c>
      <c r="X11" s="20" t="s">
        <v>817</v>
      </c>
      <c r="Y11" s="20" t="s">
        <v>14</v>
      </c>
      <c r="Z11" s="20" t="s">
        <v>16</v>
      </c>
    </row>
    <row r="12" customFormat="false" ht="68.65" hidden="false" customHeight="false" outlineLevel="0" collapsed="false">
      <c r="A12" s="20" t="s">
        <v>60</v>
      </c>
      <c r="B12" s="20" t="s">
        <v>168</v>
      </c>
      <c r="C12" s="20" t="s">
        <v>220</v>
      </c>
      <c r="D12" s="20" t="s">
        <v>818</v>
      </c>
      <c r="E12" s="20" t="s">
        <v>61</v>
      </c>
      <c r="F12" s="20" t="s">
        <v>819</v>
      </c>
      <c r="G12" s="20" t="s">
        <v>820</v>
      </c>
      <c r="H12" s="20" t="s">
        <v>456</v>
      </c>
      <c r="I12" s="20" t="s">
        <v>821</v>
      </c>
      <c r="J12" s="20"/>
      <c r="K12" s="20" t="s">
        <v>822</v>
      </c>
      <c r="L12" s="20" t="s">
        <v>823</v>
      </c>
      <c r="M12" s="20" t="s">
        <v>824</v>
      </c>
      <c r="N12" s="20" t="s">
        <v>825</v>
      </c>
      <c r="O12" s="20" t="s">
        <v>826</v>
      </c>
      <c r="P12" s="20" t="s">
        <v>827</v>
      </c>
      <c r="Q12" s="20" t="s">
        <v>702</v>
      </c>
      <c r="R12" s="20" t="s">
        <v>371</v>
      </c>
      <c r="S12" s="20" t="s">
        <v>828</v>
      </c>
      <c r="T12" s="20" t="s">
        <v>180</v>
      </c>
      <c r="U12" s="20"/>
      <c r="V12" s="24" t="s">
        <v>23</v>
      </c>
      <c r="W12" s="20" t="s">
        <v>829</v>
      </c>
      <c r="X12" s="20" t="s">
        <v>62</v>
      </c>
      <c r="Y12" s="20" t="s">
        <v>14</v>
      </c>
      <c r="Z12" s="20" t="s">
        <v>16</v>
      </c>
    </row>
    <row r="13" customFormat="false" ht="135.8" hidden="false" customHeight="false" outlineLevel="0" collapsed="false">
      <c r="A13" s="20" t="s">
        <v>54</v>
      </c>
      <c r="B13" s="20" t="s">
        <v>168</v>
      </c>
      <c r="C13" s="20" t="s">
        <v>220</v>
      </c>
      <c r="D13" s="20" t="s">
        <v>830</v>
      </c>
      <c r="E13" s="20" t="s">
        <v>55</v>
      </c>
      <c r="F13" s="20" t="s">
        <v>831</v>
      </c>
      <c r="G13" s="20" t="s">
        <v>832</v>
      </c>
      <c r="H13" s="20" t="s">
        <v>257</v>
      </c>
      <c r="I13" s="20" t="s">
        <v>833</v>
      </c>
      <c r="J13" s="20"/>
      <c r="K13" s="20" t="s">
        <v>834</v>
      </c>
      <c r="L13" s="20" t="s">
        <v>835</v>
      </c>
      <c r="M13" s="20" t="s">
        <v>836</v>
      </c>
      <c r="N13" s="20" t="s">
        <v>837</v>
      </c>
      <c r="O13" s="20" t="s">
        <v>838</v>
      </c>
      <c r="P13" s="20" t="s">
        <v>839</v>
      </c>
      <c r="Q13" s="20" t="s">
        <v>702</v>
      </c>
      <c r="R13" s="20" t="s">
        <v>383</v>
      </c>
      <c r="S13" s="20" t="s">
        <v>840</v>
      </c>
      <c r="T13" s="20" t="s">
        <v>180</v>
      </c>
      <c r="U13" s="20"/>
      <c r="V13" s="24" t="s">
        <v>23</v>
      </c>
      <c r="W13" s="20" t="s">
        <v>841</v>
      </c>
      <c r="X13" s="20" t="s">
        <v>56</v>
      </c>
      <c r="Y13" s="20" t="s">
        <v>14</v>
      </c>
      <c r="Z13" s="20" t="s">
        <v>16</v>
      </c>
    </row>
    <row r="14" customFormat="false" ht="95.5" hidden="false" customHeight="false" outlineLevel="0" collapsed="false">
      <c r="A14" s="20" t="s">
        <v>842</v>
      </c>
      <c r="B14" s="20" t="s">
        <v>168</v>
      </c>
      <c r="C14" s="20" t="s">
        <v>220</v>
      </c>
      <c r="D14" s="20" t="s">
        <v>843</v>
      </c>
      <c r="E14" s="20" t="s">
        <v>844</v>
      </c>
      <c r="F14" s="20" t="s">
        <v>845</v>
      </c>
      <c r="G14" s="20" t="s">
        <v>846</v>
      </c>
      <c r="H14" s="20" t="s">
        <v>257</v>
      </c>
      <c r="I14" s="20" t="s">
        <v>833</v>
      </c>
      <c r="J14" s="20"/>
      <c r="K14" s="20" t="s">
        <v>847</v>
      </c>
      <c r="L14" s="20" t="s">
        <v>848</v>
      </c>
      <c r="M14" s="20" t="s">
        <v>849</v>
      </c>
      <c r="N14" s="20" t="s">
        <v>850</v>
      </c>
      <c r="O14" s="20" t="s">
        <v>851</v>
      </c>
      <c r="P14" s="20" t="s">
        <v>852</v>
      </c>
      <c r="Q14" s="20" t="s">
        <v>702</v>
      </c>
      <c r="R14" s="20" t="s">
        <v>853</v>
      </c>
      <c r="S14" s="20" t="s">
        <v>854</v>
      </c>
      <c r="T14" s="20" t="s">
        <v>180</v>
      </c>
      <c r="U14" s="20"/>
      <c r="V14" s="25" t="s">
        <v>26</v>
      </c>
      <c r="W14" s="20" t="s">
        <v>855</v>
      </c>
      <c r="X14" s="20" t="s">
        <v>856</v>
      </c>
      <c r="Y14" s="20" t="s">
        <v>14</v>
      </c>
      <c r="Z14" s="20" t="s">
        <v>16</v>
      </c>
    </row>
    <row r="15" customFormat="false" ht="68.65" hidden="false" customHeight="false" outlineLevel="0" collapsed="false">
      <c r="A15" s="20" t="s">
        <v>857</v>
      </c>
      <c r="B15" s="20" t="s">
        <v>168</v>
      </c>
      <c r="C15" s="20" t="s">
        <v>220</v>
      </c>
      <c r="D15" s="20" t="s">
        <v>843</v>
      </c>
      <c r="E15" s="20" t="s">
        <v>858</v>
      </c>
      <c r="F15" s="20" t="s">
        <v>859</v>
      </c>
      <c r="G15" s="20" t="s">
        <v>860</v>
      </c>
      <c r="H15" s="20" t="s">
        <v>257</v>
      </c>
      <c r="I15" s="20" t="s">
        <v>833</v>
      </c>
      <c r="J15" s="20"/>
      <c r="K15" s="20" t="s">
        <v>847</v>
      </c>
      <c r="L15" s="20" t="s">
        <v>861</v>
      </c>
      <c r="M15" s="20" t="s">
        <v>862</v>
      </c>
      <c r="N15" s="20" t="s">
        <v>863</v>
      </c>
      <c r="O15" s="20" t="s">
        <v>864</v>
      </c>
      <c r="P15" s="20" t="s">
        <v>865</v>
      </c>
      <c r="Q15" s="20" t="s">
        <v>702</v>
      </c>
      <c r="R15" s="20" t="s">
        <v>866</v>
      </c>
      <c r="S15" s="20" t="s">
        <v>867</v>
      </c>
      <c r="T15" s="20" t="s">
        <v>180</v>
      </c>
      <c r="U15" s="20"/>
      <c r="V15" s="25" t="s">
        <v>26</v>
      </c>
      <c r="W15" s="20" t="s">
        <v>868</v>
      </c>
      <c r="X15" s="20" t="s">
        <v>869</v>
      </c>
      <c r="Y15" s="20" t="s">
        <v>14</v>
      </c>
      <c r="Z15" s="20" t="s">
        <v>16</v>
      </c>
    </row>
    <row r="16" customFormat="false" ht="82.05" hidden="false" customHeight="false" outlineLevel="0" collapsed="false">
      <c r="A16" s="20" t="s">
        <v>57</v>
      </c>
      <c r="B16" s="20" t="s">
        <v>168</v>
      </c>
      <c r="C16" s="20" t="s">
        <v>220</v>
      </c>
      <c r="D16" s="20" t="s">
        <v>843</v>
      </c>
      <c r="E16" s="20" t="s">
        <v>58</v>
      </c>
      <c r="F16" s="20" t="s">
        <v>870</v>
      </c>
      <c r="G16" s="20" t="s">
        <v>871</v>
      </c>
      <c r="H16" s="20" t="s">
        <v>257</v>
      </c>
      <c r="I16" s="20" t="s">
        <v>833</v>
      </c>
      <c r="J16" s="20"/>
      <c r="K16" s="20" t="s">
        <v>872</v>
      </c>
      <c r="L16" s="20" t="s">
        <v>873</v>
      </c>
      <c r="M16" s="20" t="s">
        <v>874</v>
      </c>
      <c r="N16" s="20" t="s">
        <v>875</v>
      </c>
      <c r="O16" s="20" t="s">
        <v>876</v>
      </c>
      <c r="P16" s="20" t="s">
        <v>877</v>
      </c>
      <c r="Q16" s="20" t="s">
        <v>702</v>
      </c>
      <c r="R16" s="20" t="s">
        <v>878</v>
      </c>
      <c r="S16" s="20" t="s">
        <v>879</v>
      </c>
      <c r="T16" s="20" t="s">
        <v>180</v>
      </c>
      <c r="U16" s="20"/>
      <c r="V16" s="24" t="s">
        <v>23</v>
      </c>
      <c r="W16" s="20" t="s">
        <v>880</v>
      </c>
      <c r="X16" s="20" t="s">
        <v>59</v>
      </c>
      <c r="Y16" s="20" t="s">
        <v>14</v>
      </c>
      <c r="Z16" s="20" t="s">
        <v>16</v>
      </c>
    </row>
    <row r="17" customFormat="false" ht="162.65" hidden="false" customHeight="false" outlineLevel="0" collapsed="false">
      <c r="A17" s="20" t="s">
        <v>881</v>
      </c>
      <c r="B17" s="20" t="s">
        <v>183</v>
      </c>
      <c r="C17" s="20" t="s">
        <v>169</v>
      </c>
      <c r="D17" s="20" t="s">
        <v>882</v>
      </c>
      <c r="E17" s="20" t="s">
        <v>883</v>
      </c>
      <c r="F17" s="20" t="s">
        <v>884</v>
      </c>
      <c r="G17" s="20"/>
      <c r="H17" s="20"/>
      <c r="I17" s="20"/>
      <c r="J17" s="20"/>
      <c r="K17" s="20"/>
      <c r="L17" s="20" t="s">
        <v>885</v>
      </c>
      <c r="M17" s="20" t="s">
        <v>886</v>
      </c>
      <c r="N17" s="20" t="s">
        <v>887</v>
      </c>
      <c r="O17" s="20" t="s">
        <v>888</v>
      </c>
      <c r="P17" s="20" t="s">
        <v>889</v>
      </c>
      <c r="Q17" s="20" t="s">
        <v>702</v>
      </c>
      <c r="R17" s="20" t="s">
        <v>890</v>
      </c>
      <c r="S17" s="20" t="s">
        <v>891</v>
      </c>
      <c r="T17" s="20" t="s">
        <v>205</v>
      </c>
      <c r="U17" s="20" t="s">
        <v>892</v>
      </c>
      <c r="V17" s="22" t="s">
        <v>25</v>
      </c>
      <c r="W17" s="20" t="s">
        <v>893</v>
      </c>
      <c r="X17" s="20" t="s">
        <v>894</v>
      </c>
      <c r="Y17" s="20" t="s">
        <v>14</v>
      </c>
      <c r="Z17" s="2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22"/>
    <col collapsed="false" customWidth="true" hidden="false" outlineLevel="0" max="5" min="5" style="0" width="28"/>
    <col collapsed="false" customWidth="true" hidden="false" outlineLevel="0" max="6" min="6" style="0" width="50"/>
    <col collapsed="false" customWidth="true" hidden="false" outlineLevel="0" max="7" min="7" style="0" width="30"/>
    <col collapsed="false" customWidth="true" hidden="false" outlineLevel="0" max="8" min="8" style="0" width="14"/>
    <col collapsed="false" customWidth="true" hidden="false" outlineLevel="0" max="9" min="9" style="0" width="20"/>
    <col collapsed="false" customWidth="true" hidden="false" outlineLevel="0" max="10" min="10" style="0" width="10"/>
    <col collapsed="false" customWidth="true" hidden="false" outlineLevel="0" max="11" min="11" style="0" width="50"/>
    <col collapsed="false" customWidth="true" hidden="false" outlineLevel="0" max="14" min="12" style="0" width="40"/>
    <col collapsed="false" customWidth="true" hidden="false" outlineLevel="0" max="15" min="15" style="0" width="36"/>
    <col collapsed="false" customWidth="true" hidden="false" outlineLevel="0" max="16" min="16" style="0" width="24"/>
    <col collapsed="false" customWidth="true" hidden="false" outlineLevel="0" max="17" min="17" style="0" width="18"/>
    <col collapsed="false" customWidth="true" hidden="false" outlineLevel="0" max="18" min="18" style="0" width="10"/>
    <col collapsed="false" customWidth="true" hidden="false" outlineLevel="0" max="19" min="19" style="0" width="24"/>
    <col collapsed="false" customWidth="true" hidden="false" outlineLevel="0" max="20" min="20" style="0" width="12"/>
    <col collapsed="false" customWidth="true" hidden="false" outlineLevel="0" max="21" min="21" style="0" width="40"/>
    <col collapsed="false" customWidth="true" hidden="false" outlineLevel="0" max="22" min="22" style="0" width="16"/>
    <col collapsed="false" customWidth="true" hidden="false" outlineLevel="0" max="24" min="23" style="0" width="70"/>
    <col collapsed="false" customWidth="true" hidden="false" outlineLevel="0" max="25" min="25" style="0" width="16"/>
    <col collapsed="false" customWidth="true" hidden="false" outlineLevel="0" max="26" min="26" style="0" width="30"/>
  </cols>
  <sheetData>
    <row r="1" customFormat="false" ht="15" hidden="false" customHeight="false" outlineLevel="0" collapsed="false">
      <c r="A1" s="18" t="s">
        <v>142</v>
      </c>
      <c r="B1" s="18" t="s">
        <v>143</v>
      </c>
      <c r="C1" s="18" t="s">
        <v>144</v>
      </c>
      <c r="D1" s="18" t="s">
        <v>145</v>
      </c>
      <c r="E1" s="18" t="s">
        <v>146</v>
      </c>
      <c r="F1" s="18" t="s">
        <v>147</v>
      </c>
      <c r="G1" s="18" t="s">
        <v>148</v>
      </c>
      <c r="H1" s="18" t="s">
        <v>149</v>
      </c>
      <c r="I1" s="18" t="s">
        <v>150</v>
      </c>
      <c r="J1" s="18" t="s">
        <v>151</v>
      </c>
      <c r="K1" s="18" t="s">
        <v>152</v>
      </c>
      <c r="L1" s="18" t="s">
        <v>153</v>
      </c>
      <c r="M1" s="18" t="s">
        <v>154</v>
      </c>
      <c r="N1" s="18" t="s">
        <v>155</v>
      </c>
      <c r="O1" s="18" t="s">
        <v>156</v>
      </c>
      <c r="P1" s="18" t="s">
        <v>157</v>
      </c>
      <c r="Q1" s="18" t="s">
        <v>158</v>
      </c>
      <c r="R1" s="18" t="s">
        <v>159</v>
      </c>
      <c r="S1" s="18" t="s">
        <v>160</v>
      </c>
      <c r="T1" s="18" t="s">
        <v>161</v>
      </c>
      <c r="U1" s="18" t="s">
        <v>162</v>
      </c>
      <c r="V1" s="19" t="s">
        <v>163</v>
      </c>
      <c r="W1" s="19" t="s">
        <v>164</v>
      </c>
      <c r="X1" s="19" t="s">
        <v>165</v>
      </c>
      <c r="Y1" s="19" t="s">
        <v>166</v>
      </c>
      <c r="Z1" s="19" t="s">
        <v>167</v>
      </c>
    </row>
    <row r="2" customFormat="false" ht="82.05" hidden="false" customHeight="false" outlineLevel="0" collapsed="false">
      <c r="A2" s="20" t="s">
        <v>63</v>
      </c>
      <c r="B2" s="20" t="s">
        <v>168</v>
      </c>
      <c r="C2" s="20" t="s">
        <v>220</v>
      </c>
      <c r="D2" s="20" t="s">
        <v>895</v>
      </c>
      <c r="E2" s="20" t="s">
        <v>64</v>
      </c>
      <c r="F2" s="20" t="s">
        <v>896</v>
      </c>
      <c r="G2" s="20" t="s">
        <v>897</v>
      </c>
      <c r="H2" s="20" t="s">
        <v>257</v>
      </c>
      <c r="I2" s="20" t="s">
        <v>420</v>
      </c>
      <c r="J2" s="20"/>
      <c r="K2" s="20"/>
      <c r="L2" s="20" t="s">
        <v>898</v>
      </c>
      <c r="M2" s="20" t="s">
        <v>899</v>
      </c>
      <c r="N2" s="20" t="s">
        <v>900</v>
      </c>
      <c r="O2" s="20" t="s">
        <v>901</v>
      </c>
      <c r="P2" s="20" t="s">
        <v>902</v>
      </c>
      <c r="Q2" s="20" t="s">
        <v>903</v>
      </c>
      <c r="R2" s="20" t="s">
        <v>178</v>
      </c>
      <c r="S2" s="20" t="s">
        <v>904</v>
      </c>
      <c r="T2" s="20" t="s">
        <v>180</v>
      </c>
      <c r="U2" s="20"/>
      <c r="V2" s="24" t="s">
        <v>23</v>
      </c>
      <c r="W2" s="20" t="s">
        <v>905</v>
      </c>
      <c r="X2" s="20" t="s">
        <v>65</v>
      </c>
      <c r="Y2" s="20" t="s">
        <v>14</v>
      </c>
      <c r="Z2" s="20" t="s">
        <v>16</v>
      </c>
    </row>
    <row r="3" customFormat="false" ht="68.65" hidden="false" customHeight="false" outlineLevel="0" collapsed="false">
      <c r="A3" s="20" t="s">
        <v>906</v>
      </c>
      <c r="B3" s="20" t="s">
        <v>183</v>
      </c>
      <c r="C3" s="20" t="s">
        <v>220</v>
      </c>
      <c r="D3" s="20" t="s">
        <v>895</v>
      </c>
      <c r="E3" s="20" t="s">
        <v>907</v>
      </c>
      <c r="F3" s="20" t="s">
        <v>908</v>
      </c>
      <c r="G3" s="20" t="s">
        <v>909</v>
      </c>
      <c r="H3" s="20" t="s">
        <v>257</v>
      </c>
      <c r="I3" s="20" t="s">
        <v>420</v>
      </c>
      <c r="J3" s="20"/>
      <c r="K3" s="20"/>
      <c r="L3" s="20" t="s">
        <v>910</v>
      </c>
      <c r="M3" s="20" t="s">
        <v>911</v>
      </c>
      <c r="N3" s="20" t="s">
        <v>912</v>
      </c>
      <c r="O3" s="20" t="s">
        <v>913</v>
      </c>
      <c r="P3" s="20" t="s">
        <v>914</v>
      </c>
      <c r="Q3" s="20" t="s">
        <v>903</v>
      </c>
      <c r="R3" s="20" t="s">
        <v>118</v>
      </c>
      <c r="S3" s="20" t="s">
        <v>907</v>
      </c>
      <c r="T3" s="20" t="s">
        <v>180</v>
      </c>
      <c r="U3" s="20"/>
      <c r="V3" s="24" t="s">
        <v>23</v>
      </c>
      <c r="W3" s="20" t="s">
        <v>915</v>
      </c>
      <c r="X3" s="20" t="s">
        <v>916</v>
      </c>
      <c r="Y3" s="20" t="s">
        <v>14</v>
      </c>
      <c r="Z3" s="20" t="s">
        <v>16</v>
      </c>
    </row>
    <row r="4" customFormat="false" ht="135.8" hidden="false" customHeight="false" outlineLevel="0" collapsed="false">
      <c r="A4" s="20" t="s">
        <v>917</v>
      </c>
      <c r="B4" s="20" t="s">
        <v>183</v>
      </c>
      <c r="C4" s="20" t="s">
        <v>220</v>
      </c>
      <c r="D4" s="20" t="s">
        <v>918</v>
      </c>
      <c r="E4" s="20" t="s">
        <v>919</v>
      </c>
      <c r="F4" s="20" t="s">
        <v>920</v>
      </c>
      <c r="G4" s="20" t="s">
        <v>921</v>
      </c>
      <c r="H4" s="20" t="s">
        <v>257</v>
      </c>
      <c r="I4" s="20" t="s">
        <v>420</v>
      </c>
      <c r="J4" s="20"/>
      <c r="K4" s="20" t="s">
        <v>922</v>
      </c>
      <c r="L4" s="20" t="s">
        <v>923</v>
      </c>
      <c r="M4" s="20" t="s">
        <v>924</v>
      </c>
      <c r="N4" s="20" t="s">
        <v>925</v>
      </c>
      <c r="O4" s="20" t="s">
        <v>926</v>
      </c>
      <c r="P4" s="20" t="s">
        <v>927</v>
      </c>
      <c r="Q4" s="20" t="s">
        <v>928</v>
      </c>
      <c r="R4" s="20" t="s">
        <v>929</v>
      </c>
      <c r="S4" s="20" t="s">
        <v>930</v>
      </c>
      <c r="T4" s="20" t="s">
        <v>494</v>
      </c>
      <c r="U4" s="20" t="s">
        <v>931</v>
      </c>
      <c r="V4" s="24" t="s">
        <v>23</v>
      </c>
      <c r="W4" s="20" t="s">
        <v>932</v>
      </c>
      <c r="X4" s="20" t="s">
        <v>933</v>
      </c>
      <c r="Y4" s="20" t="s">
        <v>14</v>
      </c>
      <c r="Z4" s="20" t="s">
        <v>16</v>
      </c>
    </row>
    <row r="5" customFormat="false" ht="82.05" hidden="false" customHeight="false" outlineLevel="0" collapsed="false">
      <c r="A5" s="20" t="s">
        <v>66</v>
      </c>
      <c r="B5" s="20" t="s">
        <v>168</v>
      </c>
      <c r="C5" s="20" t="s">
        <v>220</v>
      </c>
      <c r="D5" s="20" t="s">
        <v>934</v>
      </c>
      <c r="E5" s="20" t="s">
        <v>67</v>
      </c>
      <c r="F5" s="20" t="s">
        <v>935</v>
      </c>
      <c r="G5" s="20" t="s">
        <v>936</v>
      </c>
      <c r="H5" s="20" t="s">
        <v>225</v>
      </c>
      <c r="I5" s="20" t="s">
        <v>937</v>
      </c>
      <c r="J5" s="20"/>
      <c r="K5" s="20" t="s">
        <v>938</v>
      </c>
      <c r="L5" s="20" t="s">
        <v>939</v>
      </c>
      <c r="M5" s="20" t="s">
        <v>940</v>
      </c>
      <c r="N5" s="20" t="s">
        <v>941</v>
      </c>
      <c r="O5" s="20" t="s">
        <v>942</v>
      </c>
      <c r="P5" s="20" t="s">
        <v>943</v>
      </c>
      <c r="Q5" s="20" t="s">
        <v>903</v>
      </c>
      <c r="R5" s="20" t="s">
        <v>122</v>
      </c>
      <c r="S5" s="20" t="s">
        <v>67</v>
      </c>
      <c r="T5" s="20" t="s">
        <v>205</v>
      </c>
      <c r="U5" s="20" t="s">
        <v>944</v>
      </c>
      <c r="V5" s="24" t="s">
        <v>23</v>
      </c>
      <c r="W5" s="20" t="s">
        <v>945</v>
      </c>
      <c r="X5" s="20" t="s">
        <v>68</v>
      </c>
      <c r="Y5" s="20" t="s">
        <v>14</v>
      </c>
      <c r="Z5" s="20" t="s">
        <v>16</v>
      </c>
    </row>
    <row r="6" customFormat="false" ht="82.05" hidden="false" customHeight="false" outlineLevel="0" collapsed="false">
      <c r="A6" s="20" t="s">
        <v>69</v>
      </c>
      <c r="B6" s="20" t="s">
        <v>168</v>
      </c>
      <c r="C6" s="20" t="s">
        <v>220</v>
      </c>
      <c r="D6" s="20" t="s">
        <v>934</v>
      </c>
      <c r="E6" s="20" t="s">
        <v>70</v>
      </c>
      <c r="F6" s="20" t="s">
        <v>946</v>
      </c>
      <c r="G6" s="20" t="s">
        <v>947</v>
      </c>
      <c r="H6" s="20" t="s">
        <v>257</v>
      </c>
      <c r="I6" s="20" t="s">
        <v>833</v>
      </c>
      <c r="J6" s="20"/>
      <c r="K6" s="20" t="s">
        <v>948</v>
      </c>
      <c r="L6" s="20" t="s">
        <v>949</v>
      </c>
      <c r="M6" s="20" t="s">
        <v>950</v>
      </c>
      <c r="N6" s="20" t="s">
        <v>951</v>
      </c>
      <c r="O6" s="20" t="s">
        <v>952</v>
      </c>
      <c r="P6" s="20" t="s">
        <v>943</v>
      </c>
      <c r="Q6" s="20" t="s">
        <v>903</v>
      </c>
      <c r="R6" s="20" t="s">
        <v>122</v>
      </c>
      <c r="S6" s="20" t="s">
        <v>70</v>
      </c>
      <c r="T6" s="20" t="s">
        <v>205</v>
      </c>
      <c r="U6" s="20" t="s">
        <v>953</v>
      </c>
      <c r="V6" s="24" t="s">
        <v>23</v>
      </c>
      <c r="W6" s="20" t="s">
        <v>954</v>
      </c>
      <c r="X6" s="20" t="s">
        <v>71</v>
      </c>
      <c r="Y6" s="20" t="s">
        <v>14</v>
      </c>
      <c r="Z6" s="20" t="s">
        <v>16</v>
      </c>
    </row>
    <row r="7" customFormat="false" ht="108.95" hidden="false" customHeight="false" outlineLevel="0" collapsed="false">
      <c r="A7" s="20" t="s">
        <v>955</v>
      </c>
      <c r="B7" s="20" t="s">
        <v>183</v>
      </c>
      <c r="C7" s="20" t="s">
        <v>220</v>
      </c>
      <c r="D7" s="20" t="s">
        <v>416</v>
      </c>
      <c r="E7" s="20" t="s">
        <v>956</v>
      </c>
      <c r="F7" s="20" t="s">
        <v>957</v>
      </c>
      <c r="G7" s="20" t="s">
        <v>958</v>
      </c>
      <c r="H7" s="20" t="s">
        <v>257</v>
      </c>
      <c r="I7" s="20" t="s">
        <v>420</v>
      </c>
      <c r="J7" s="20"/>
      <c r="K7" s="20" t="s">
        <v>959</v>
      </c>
      <c r="L7" s="20" t="s">
        <v>960</v>
      </c>
      <c r="M7" s="20" t="s">
        <v>961</v>
      </c>
      <c r="N7" s="20" t="s">
        <v>962</v>
      </c>
      <c r="O7" s="20" t="s">
        <v>963</v>
      </c>
      <c r="P7" s="20" t="s">
        <v>964</v>
      </c>
      <c r="Q7" s="20" t="s">
        <v>903</v>
      </c>
      <c r="R7" s="20" t="s">
        <v>233</v>
      </c>
      <c r="S7" s="20" t="s">
        <v>965</v>
      </c>
      <c r="T7" s="20" t="s">
        <v>180</v>
      </c>
      <c r="U7" s="20" t="s">
        <v>966</v>
      </c>
      <c r="V7" s="24" t="s">
        <v>23</v>
      </c>
      <c r="W7" s="20" t="s">
        <v>967</v>
      </c>
      <c r="X7" s="20" t="s">
        <v>968</v>
      </c>
      <c r="Y7" s="20" t="s">
        <v>14</v>
      </c>
      <c r="Z7" s="20" t="s">
        <v>16</v>
      </c>
    </row>
    <row r="8" customFormat="false" ht="122.35" hidden="false" customHeight="false" outlineLevel="0" collapsed="false">
      <c r="A8" s="20" t="s">
        <v>969</v>
      </c>
      <c r="B8" s="20" t="s">
        <v>183</v>
      </c>
      <c r="C8" s="20" t="s">
        <v>220</v>
      </c>
      <c r="D8" s="20" t="s">
        <v>970</v>
      </c>
      <c r="E8" s="20" t="s">
        <v>971</v>
      </c>
      <c r="F8" s="20" t="s">
        <v>972</v>
      </c>
      <c r="G8" s="20" t="s">
        <v>973</v>
      </c>
      <c r="H8" s="20" t="s">
        <v>241</v>
      </c>
      <c r="I8" s="20" t="s">
        <v>974</v>
      </c>
      <c r="J8" s="20"/>
      <c r="K8" s="20" t="s">
        <v>975</v>
      </c>
      <c r="L8" s="20" t="s">
        <v>976</v>
      </c>
      <c r="M8" s="20" t="s">
        <v>977</v>
      </c>
      <c r="N8" s="20" t="s">
        <v>978</v>
      </c>
      <c r="O8" s="20" t="s">
        <v>979</v>
      </c>
      <c r="P8" s="20" t="s">
        <v>980</v>
      </c>
      <c r="Q8" s="20" t="s">
        <v>903</v>
      </c>
      <c r="R8" s="20" t="s">
        <v>249</v>
      </c>
      <c r="S8" s="20" t="s">
        <v>981</v>
      </c>
      <c r="T8" s="20" t="s">
        <v>180</v>
      </c>
      <c r="U8" s="20"/>
      <c r="V8" s="24" t="s">
        <v>23</v>
      </c>
      <c r="W8" s="20" t="s">
        <v>982</v>
      </c>
      <c r="X8" s="20" t="s">
        <v>983</v>
      </c>
      <c r="Y8" s="20" t="s">
        <v>14</v>
      </c>
      <c r="Z8" s="20" t="s">
        <v>16</v>
      </c>
    </row>
    <row r="9" customFormat="false" ht="68.65" hidden="false" customHeight="false" outlineLevel="0" collapsed="false">
      <c r="A9" s="20" t="s">
        <v>72</v>
      </c>
      <c r="B9" s="20" t="s">
        <v>168</v>
      </c>
      <c r="C9" s="20" t="s">
        <v>220</v>
      </c>
      <c r="D9" s="20" t="s">
        <v>984</v>
      </c>
      <c r="E9" s="20" t="s">
        <v>73</v>
      </c>
      <c r="F9" s="20" t="s">
        <v>985</v>
      </c>
      <c r="G9" s="20" t="s">
        <v>986</v>
      </c>
      <c r="H9" s="20" t="s">
        <v>225</v>
      </c>
      <c r="I9" s="20" t="s">
        <v>987</v>
      </c>
      <c r="J9" s="20"/>
      <c r="K9" s="20" t="s">
        <v>988</v>
      </c>
      <c r="L9" s="20" t="s">
        <v>989</v>
      </c>
      <c r="M9" s="20" t="s">
        <v>990</v>
      </c>
      <c r="N9" s="20" t="s">
        <v>991</v>
      </c>
      <c r="O9" s="20" t="s">
        <v>992</v>
      </c>
      <c r="P9" s="20" t="s">
        <v>993</v>
      </c>
      <c r="Q9" s="20" t="s">
        <v>903</v>
      </c>
      <c r="R9" s="20" t="s">
        <v>134</v>
      </c>
      <c r="S9" s="20" t="s">
        <v>73</v>
      </c>
      <c r="T9" s="20" t="s">
        <v>180</v>
      </c>
      <c r="U9" s="20"/>
      <c r="V9" s="24" t="s">
        <v>23</v>
      </c>
      <c r="W9" s="20" t="s">
        <v>994</v>
      </c>
      <c r="X9" s="20" t="s">
        <v>74</v>
      </c>
      <c r="Y9" s="20" t="s">
        <v>14</v>
      </c>
      <c r="Z9" s="20" t="s">
        <v>16</v>
      </c>
    </row>
    <row r="10" customFormat="false" ht="323.85" hidden="false" customHeight="false" outlineLevel="0" collapsed="false">
      <c r="A10" s="20" t="s">
        <v>75</v>
      </c>
      <c r="B10" s="20" t="s">
        <v>168</v>
      </c>
      <c r="C10" s="20" t="s">
        <v>220</v>
      </c>
      <c r="D10" s="20" t="s">
        <v>995</v>
      </c>
      <c r="E10" s="20" t="s">
        <v>76</v>
      </c>
      <c r="F10" s="20" t="s">
        <v>996</v>
      </c>
      <c r="G10" s="20" t="s">
        <v>997</v>
      </c>
      <c r="H10" s="20" t="s">
        <v>241</v>
      </c>
      <c r="I10" s="20" t="s">
        <v>998</v>
      </c>
      <c r="J10" s="20"/>
      <c r="K10" s="20" t="s">
        <v>999</v>
      </c>
      <c r="L10" s="20" t="s">
        <v>1000</v>
      </c>
      <c r="M10" s="20" t="s">
        <v>1001</v>
      </c>
      <c r="N10" s="20" t="s">
        <v>1002</v>
      </c>
      <c r="O10" s="20" t="s">
        <v>1003</v>
      </c>
      <c r="P10" s="20" t="s">
        <v>1004</v>
      </c>
      <c r="Q10" s="20" t="s">
        <v>903</v>
      </c>
      <c r="R10" s="20" t="s">
        <v>1005</v>
      </c>
      <c r="S10" s="20" t="s">
        <v>1006</v>
      </c>
      <c r="T10" s="20" t="s">
        <v>180</v>
      </c>
      <c r="U10" s="20"/>
      <c r="V10" s="24" t="s">
        <v>23</v>
      </c>
      <c r="W10" s="20" t="s">
        <v>1007</v>
      </c>
      <c r="X10" s="20" t="s">
        <v>77</v>
      </c>
      <c r="Y10" s="20" t="s">
        <v>14</v>
      </c>
      <c r="Z10" s="20" t="s">
        <v>16</v>
      </c>
    </row>
    <row r="11" customFormat="false" ht="149.25" hidden="false" customHeight="false" outlineLevel="0" collapsed="false">
      <c r="A11" s="20" t="s">
        <v>1008</v>
      </c>
      <c r="B11" s="20" t="s">
        <v>168</v>
      </c>
      <c r="C11" s="20" t="s">
        <v>220</v>
      </c>
      <c r="D11" s="20" t="s">
        <v>1009</v>
      </c>
      <c r="E11" s="20" t="s">
        <v>1010</v>
      </c>
      <c r="F11" s="20" t="s">
        <v>1011</v>
      </c>
      <c r="G11" s="20" t="s">
        <v>1012</v>
      </c>
      <c r="H11" s="20" t="s">
        <v>225</v>
      </c>
      <c r="I11" s="20" t="s">
        <v>1013</v>
      </c>
      <c r="J11" s="20"/>
      <c r="K11" s="20" t="s">
        <v>1014</v>
      </c>
      <c r="L11" s="20" t="s">
        <v>1015</v>
      </c>
      <c r="M11" s="20" t="s">
        <v>1016</v>
      </c>
      <c r="N11" s="20" t="s">
        <v>1017</v>
      </c>
      <c r="O11" s="20" t="s">
        <v>1018</v>
      </c>
      <c r="P11" s="20" t="s">
        <v>1019</v>
      </c>
      <c r="Q11" s="20" t="s">
        <v>903</v>
      </c>
      <c r="R11" s="20" t="s">
        <v>299</v>
      </c>
      <c r="S11" s="20" t="s">
        <v>1010</v>
      </c>
      <c r="T11" s="20" t="s">
        <v>180</v>
      </c>
      <c r="U11" s="20"/>
      <c r="V11" s="23" t="s">
        <v>22</v>
      </c>
      <c r="W11" s="20" t="s">
        <v>1020</v>
      </c>
      <c r="X11" s="20" t="s">
        <v>1021</v>
      </c>
      <c r="Y11" s="20" t="s">
        <v>14</v>
      </c>
      <c r="Z11" s="20" t="s">
        <v>16</v>
      </c>
    </row>
    <row r="12" customFormat="false" ht="108.95" hidden="false" customHeight="false" outlineLevel="0" collapsed="false">
      <c r="A12" s="20" t="s">
        <v>1022</v>
      </c>
      <c r="B12" s="20" t="s">
        <v>183</v>
      </c>
      <c r="C12" s="20" t="s">
        <v>220</v>
      </c>
      <c r="D12" s="20" t="s">
        <v>1023</v>
      </c>
      <c r="E12" s="20" t="s">
        <v>1024</v>
      </c>
      <c r="F12" s="20" t="s">
        <v>1025</v>
      </c>
      <c r="G12" s="20" t="s">
        <v>1026</v>
      </c>
      <c r="H12" s="20" t="s">
        <v>257</v>
      </c>
      <c r="I12" s="20" t="s">
        <v>1027</v>
      </c>
      <c r="J12" s="20"/>
      <c r="K12" s="20" t="s">
        <v>1028</v>
      </c>
      <c r="L12" s="20" t="s">
        <v>1029</v>
      </c>
      <c r="M12" s="20" t="s">
        <v>1030</v>
      </c>
      <c r="N12" s="20" t="s">
        <v>1031</v>
      </c>
      <c r="O12" s="20" t="s">
        <v>1032</v>
      </c>
      <c r="P12" s="20" t="s">
        <v>1033</v>
      </c>
      <c r="Q12" s="20" t="s">
        <v>903</v>
      </c>
      <c r="R12" s="20" t="s">
        <v>315</v>
      </c>
      <c r="S12" s="20" t="s">
        <v>1034</v>
      </c>
      <c r="T12" s="20" t="s">
        <v>180</v>
      </c>
      <c r="U12" s="20"/>
      <c r="V12" s="23" t="s">
        <v>22</v>
      </c>
      <c r="W12" s="20" t="s">
        <v>1035</v>
      </c>
      <c r="X12" s="20" t="s">
        <v>1036</v>
      </c>
      <c r="Y12" s="20" t="s">
        <v>14</v>
      </c>
      <c r="Z12" s="20" t="s">
        <v>16</v>
      </c>
    </row>
    <row r="13" customFormat="false" ht="82.05" hidden="false" customHeight="false" outlineLevel="0" collapsed="false">
      <c r="A13" s="20" t="s">
        <v>1037</v>
      </c>
      <c r="B13" s="20" t="s">
        <v>183</v>
      </c>
      <c r="C13" s="20" t="s">
        <v>220</v>
      </c>
      <c r="D13" s="20" t="s">
        <v>1038</v>
      </c>
      <c r="E13" s="20" t="s">
        <v>1039</v>
      </c>
      <c r="F13" s="20" t="s">
        <v>1040</v>
      </c>
      <c r="G13" s="20" t="s">
        <v>1041</v>
      </c>
      <c r="H13" s="20" t="s">
        <v>257</v>
      </c>
      <c r="I13" s="20" t="s">
        <v>1042</v>
      </c>
      <c r="J13" s="20"/>
      <c r="K13" s="20"/>
      <c r="L13" s="20" t="s">
        <v>1043</v>
      </c>
      <c r="M13" s="20" t="s">
        <v>1044</v>
      </c>
      <c r="N13" s="20" t="s">
        <v>1045</v>
      </c>
      <c r="O13" s="20" t="s">
        <v>1046</v>
      </c>
      <c r="P13" s="20" t="s">
        <v>1047</v>
      </c>
      <c r="Q13" s="20" t="s">
        <v>903</v>
      </c>
      <c r="R13" s="20" t="s">
        <v>1048</v>
      </c>
      <c r="S13" s="20" t="s">
        <v>1039</v>
      </c>
      <c r="T13" s="20" t="s">
        <v>180</v>
      </c>
      <c r="U13" s="20"/>
      <c r="V13" s="24" t="s">
        <v>23</v>
      </c>
      <c r="W13" s="20" t="s">
        <v>1049</v>
      </c>
      <c r="X13" s="20" t="s">
        <v>1050</v>
      </c>
      <c r="Y13" s="20" t="s">
        <v>14</v>
      </c>
      <c r="Z13" s="20" t="s">
        <v>16</v>
      </c>
    </row>
    <row r="14" customFormat="false" ht="122.35" hidden="false" customHeight="false" outlineLevel="0" collapsed="false">
      <c r="A14" s="20" t="s">
        <v>1051</v>
      </c>
      <c r="B14" s="20" t="s">
        <v>183</v>
      </c>
      <c r="C14" s="20" t="s">
        <v>220</v>
      </c>
      <c r="D14" s="20" t="s">
        <v>1052</v>
      </c>
      <c r="E14" s="20" t="s">
        <v>1053</v>
      </c>
      <c r="F14" s="20" t="s">
        <v>1054</v>
      </c>
      <c r="G14" s="20" t="s">
        <v>1055</v>
      </c>
      <c r="H14" s="20" t="s">
        <v>257</v>
      </c>
      <c r="I14" s="20" t="s">
        <v>1056</v>
      </c>
      <c r="J14" s="20"/>
      <c r="K14" s="20" t="s">
        <v>1057</v>
      </c>
      <c r="L14" s="20" t="s">
        <v>1058</v>
      </c>
      <c r="M14" s="20" t="s">
        <v>1059</v>
      </c>
      <c r="N14" s="20" t="s">
        <v>1060</v>
      </c>
      <c r="O14" s="20" t="s">
        <v>1061</v>
      </c>
      <c r="P14" s="20" t="s">
        <v>1062</v>
      </c>
      <c r="Q14" s="20" t="s">
        <v>903</v>
      </c>
      <c r="R14" s="20" t="s">
        <v>647</v>
      </c>
      <c r="S14" s="20" t="s">
        <v>1063</v>
      </c>
      <c r="T14" s="20" t="s">
        <v>180</v>
      </c>
      <c r="U14" s="20"/>
      <c r="V14" s="23" t="s">
        <v>22</v>
      </c>
      <c r="W14" s="20" t="s">
        <v>1064</v>
      </c>
      <c r="X14" s="20" t="s">
        <v>1065</v>
      </c>
      <c r="Y14" s="20" t="s">
        <v>14</v>
      </c>
      <c r="Z14" s="2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2026-09-22T07:14:24Z</dcterms:created>
  <dc:creator>openpyxl</dc:creator>
  <dc:description/>
  <dc:language>en-US</dc:language>
  <cp:lastModifiedBy/>
  <dcterms:modified xsi:type="dcterms:W3CDTF">2026-09-25T07:32:22Z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